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ev\python-projects\Projects\Tenant_Arrears_Tracker\data\"/>
    </mc:Choice>
  </mc:AlternateContent>
  <xr:revisionPtr revIDLastSave="0" documentId="13_ncr:1_{F6C7DD1A-927C-4AC2-8759-C2182641720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Ops_Dashboard" sheetId="1" r:id="rId1"/>
    <sheet name="Tenants" sheetId="2" r:id="rId2"/>
    <sheet name="Ledger" sheetId="3" r:id="rId3"/>
    <sheet name="Pivots" sheetId="14" state="hidden" r:id="rId4"/>
    <sheet name="Snapshot_Data" sheetId="13" state="hidden" r:id="rId5"/>
    <sheet name="History_Snapshot" sheetId="15" state="hidden" r:id="rId6"/>
  </sheets>
  <definedNames>
    <definedName name="ExternalData_1" localSheetId="5" hidden="1">History_Snapshot!$A$1:$E$11</definedName>
    <definedName name="ExternalData_1" localSheetId="4" hidden="1">Snapshot_Data!$A$1:$H$13</definedName>
    <definedName name="_xlnm.Print_Area" localSheetId="0">Ops_Dashboard!$A$1:$V$34</definedName>
  </definedNames>
  <calcPr calcId="191029"/>
  <pivotCaches>
    <pivotCache cacheId="11" r:id="rId7"/>
    <pivotCache cacheId="1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5" i="1"/>
  <c r="D5" i="1"/>
  <c r="D8" i="1"/>
  <c r="A8" i="1"/>
  <c r="J3" i="2"/>
  <c r="J4" i="2"/>
  <c r="J5" i="2"/>
  <c r="J6" i="2"/>
  <c r="J7" i="2"/>
  <c r="J8" i="2"/>
  <c r="J9" i="2"/>
  <c r="J10" i="2"/>
  <c r="J11" i="2"/>
  <c r="J12" i="2"/>
  <c r="J13" i="2"/>
  <c r="J2" i="2"/>
  <c r="C3" i="2"/>
  <c r="C4" i="2"/>
  <c r="C5" i="2"/>
  <c r="C6" i="2"/>
  <c r="C7" i="2"/>
  <c r="C8" i="2"/>
  <c r="C9" i="2"/>
  <c r="C10" i="2"/>
  <c r="C11" i="2"/>
  <c r="C12" i="2"/>
  <c r="C13" i="2"/>
  <c r="C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BCDBEA2-813E-4BC6-AB78-A104A0C879C7}" keepAlive="1" name="Query - arrears_history" description="Connection to the 'arrears_history' query in the workbook." type="5" refreshedVersion="8" background="1" saveData="1">
    <dbPr connection="Provider=Microsoft.Mashup.OleDb.1;Data Source=$Workbook$;Location=arrears_history;Extended Properties=&quot;&quot;" command="SELECT * FROM [arrears_history]"/>
  </connection>
  <connection id="2" xr16:uid="{0EA691EE-9A61-4B64-8EF6-BA812C8BB90D}" keepAlive="1" name="Query - arrears_snapshot_latest" description="Connection to the 'arrears_snapshot_latest' query in the workbook." type="5" refreshedVersion="8" background="1" saveData="1">
    <dbPr connection="Provider=Microsoft.Mashup.OleDb.1;Data Source=$Workbook$;Location=arrears_snapshot_latest;Extended Properties=&quot;&quot;" command="SELECT * FROM [arrears_snapshot_latest]"/>
  </connection>
</connections>
</file>

<file path=xl/sharedStrings.xml><?xml version="1.0" encoding="utf-8"?>
<sst xmlns="http://schemas.openxmlformats.org/spreadsheetml/2006/main" count="507" uniqueCount="191">
  <si>
    <t>Ops Dashboard — Arrears Overview</t>
  </si>
  <si>
    <t>As-of date</t>
  </si>
  <si>
    <t>Total arrears</t>
  </si>
  <si>
    <t>Tenants in arrears</t>
  </si>
  <si>
    <t>% in arrears</t>
  </si>
  <si>
    <t>Avg days overdue (arrears only)</t>
  </si>
  <si>
    <t>Top 10 tenants by arrears</t>
  </si>
  <si>
    <t>Unit</t>
  </si>
  <si>
    <t>phone</t>
  </si>
  <si>
    <t>status</t>
  </si>
  <si>
    <t>T001</t>
  </si>
  <si>
    <t>Sipho Dlamini</t>
  </si>
  <si>
    <t>A01</t>
  </si>
  <si>
    <t>tenant001@example.com</t>
  </si>
  <si>
    <t>+27 795822412</t>
  </si>
  <si>
    <t>ACTIVE</t>
  </si>
  <si>
    <t>T002</t>
  </si>
  <si>
    <t>Lerato Mokoena</t>
  </si>
  <si>
    <t>A02</t>
  </si>
  <si>
    <t>tenant002@example.com</t>
  </si>
  <si>
    <t>+27 713356886</t>
  </si>
  <si>
    <t>T003</t>
  </si>
  <si>
    <t>Thabo Nkosi</t>
  </si>
  <si>
    <t>A03</t>
  </si>
  <si>
    <t>tenant003@example.com</t>
  </si>
  <si>
    <t>+27 742868828</t>
  </si>
  <si>
    <t>T004</t>
  </si>
  <si>
    <t>Zanele Khumalo</t>
  </si>
  <si>
    <t>A04</t>
  </si>
  <si>
    <t>tenant004@example.com</t>
  </si>
  <si>
    <t>+27 728728463</t>
  </si>
  <si>
    <t>T005</t>
  </si>
  <si>
    <t>Kagiso Ndlovu</t>
  </si>
  <si>
    <t>A05</t>
  </si>
  <si>
    <t>tenant005@example.com</t>
  </si>
  <si>
    <t>+27 783197857</t>
  </si>
  <si>
    <t>T006</t>
  </si>
  <si>
    <t>Nomsa Maseko</t>
  </si>
  <si>
    <t>A06</t>
  </si>
  <si>
    <t>tenant006@example.com</t>
  </si>
  <si>
    <t>+27 789254563</t>
  </si>
  <si>
    <t>T007</t>
  </si>
  <si>
    <t>Palesa Molefe</t>
  </si>
  <si>
    <t>A07</t>
  </si>
  <si>
    <t>tenant007@example.com</t>
  </si>
  <si>
    <t>+27 714265799</t>
  </si>
  <si>
    <t>T008</t>
  </si>
  <si>
    <t>Musa Pillay</t>
  </si>
  <si>
    <t>A08</t>
  </si>
  <si>
    <t>tenant008@example.com</t>
  </si>
  <si>
    <t>+27 722575562</t>
  </si>
  <si>
    <t>T009</t>
  </si>
  <si>
    <t>Neo van Wyk</t>
  </si>
  <si>
    <t>A09</t>
  </si>
  <si>
    <t>tenant009@example.com</t>
  </si>
  <si>
    <t>+27 741227216</t>
  </si>
  <si>
    <t>T010</t>
  </si>
  <si>
    <t>Ayesha Khan</t>
  </si>
  <si>
    <t>tenant010@example.com</t>
  </si>
  <si>
    <t>+27 785329037</t>
  </si>
  <si>
    <t>T011</t>
  </si>
  <si>
    <t>Tshepo Mabuza</t>
  </si>
  <si>
    <t>tenant011@example.com</t>
  </si>
  <si>
    <t>+27 797226012</t>
  </si>
  <si>
    <t>T012</t>
  </si>
  <si>
    <t>Refilwe Mkhize</t>
  </si>
  <si>
    <t>tenant012@example.com</t>
  </si>
  <si>
    <t>+27 739587039</t>
  </si>
  <si>
    <t>E00001</t>
  </si>
  <si>
    <t>CHARGE</t>
  </si>
  <si>
    <t>RENT 2025-12</t>
  </si>
  <si>
    <t>E00002</t>
  </si>
  <si>
    <t>RENT 2026-01</t>
  </si>
  <si>
    <t>E00003</t>
  </si>
  <si>
    <t>RENT 2026-02</t>
  </si>
  <si>
    <t>E00004</t>
  </si>
  <si>
    <t>PAYMENT</t>
  </si>
  <si>
    <t>PAY 2025-12</t>
  </si>
  <si>
    <t>E00005</t>
  </si>
  <si>
    <t>PAY 2026-01</t>
  </si>
  <si>
    <t>E00006</t>
  </si>
  <si>
    <t>PAY 2026-02</t>
  </si>
  <si>
    <t>E00007</t>
  </si>
  <si>
    <t>E00008</t>
  </si>
  <si>
    <t>E00009</t>
  </si>
  <si>
    <t>E00010</t>
  </si>
  <si>
    <t>E00011</t>
  </si>
  <si>
    <t>E00012</t>
  </si>
  <si>
    <t>E00013</t>
  </si>
  <si>
    <t>E00014</t>
  </si>
  <si>
    <t>E00015</t>
  </si>
  <si>
    <t>E00016</t>
  </si>
  <si>
    <t>E00017</t>
  </si>
  <si>
    <t>E00018</t>
  </si>
  <si>
    <t>E00019</t>
  </si>
  <si>
    <t>E00020</t>
  </si>
  <si>
    <t>E00021</t>
  </si>
  <si>
    <t>E00022</t>
  </si>
  <si>
    <t>E00023</t>
  </si>
  <si>
    <t>E00024</t>
  </si>
  <si>
    <t>E00025</t>
  </si>
  <si>
    <t>E00026</t>
  </si>
  <si>
    <t>E00027</t>
  </si>
  <si>
    <t>E00028</t>
  </si>
  <si>
    <t>E00029</t>
  </si>
  <si>
    <t>E00030</t>
  </si>
  <si>
    <t>E00031</t>
  </si>
  <si>
    <t>E00032</t>
  </si>
  <si>
    <t>E00033</t>
  </si>
  <si>
    <t>E00034</t>
  </si>
  <si>
    <t>E00035</t>
  </si>
  <si>
    <t>E00036</t>
  </si>
  <si>
    <t>E00037</t>
  </si>
  <si>
    <t>E00038</t>
  </si>
  <si>
    <t>E00039</t>
  </si>
  <si>
    <t>E00040</t>
  </si>
  <si>
    <t>PAY 2025-12 LATE</t>
  </si>
  <si>
    <t>E00041</t>
  </si>
  <si>
    <t>PAY 2026-01 PARTIAL</t>
  </si>
  <si>
    <t>E00042</t>
  </si>
  <si>
    <t>E00043</t>
  </si>
  <si>
    <t>E00044</t>
  </si>
  <si>
    <t>E00045</t>
  </si>
  <si>
    <t>E00046</t>
  </si>
  <si>
    <t>E00047</t>
  </si>
  <si>
    <t>E00048</t>
  </si>
  <si>
    <t>E00049</t>
  </si>
  <si>
    <t>E00050</t>
  </si>
  <si>
    <t>E00051</t>
  </si>
  <si>
    <t>E00052</t>
  </si>
  <si>
    <t>E00053</t>
  </si>
  <si>
    <t>E00054</t>
  </si>
  <si>
    <t>E00055</t>
  </si>
  <si>
    <t>PAY 2025-12 PARTIAL</t>
  </si>
  <si>
    <t>E00056</t>
  </si>
  <si>
    <t>E00057</t>
  </si>
  <si>
    <t>E00058</t>
  </si>
  <si>
    <t>E00059</t>
  </si>
  <si>
    <t>E00060</t>
  </si>
  <si>
    <t>E00061</t>
  </si>
  <si>
    <t>E00062</t>
  </si>
  <si>
    <t>E00063</t>
  </si>
  <si>
    <t>Tenant_Name</t>
  </si>
  <si>
    <t>Monthly_Rent</t>
  </si>
  <si>
    <t>Due_Day</t>
  </si>
  <si>
    <t>Contact_Email</t>
  </si>
  <si>
    <t>Entry_ID</t>
  </si>
  <si>
    <t>Lease_ID</t>
  </si>
  <si>
    <t>Entry_Date</t>
  </si>
  <si>
    <t>Entry_Type</t>
  </si>
  <si>
    <t>Amount</t>
  </si>
  <si>
    <t>Reference</t>
  </si>
  <si>
    <t>Property_Name</t>
  </si>
  <si>
    <t>Manager_Name</t>
  </si>
  <si>
    <t>lease_id</t>
  </si>
  <si>
    <t>tenant_name</t>
  </si>
  <si>
    <t>property_name</t>
  </si>
  <si>
    <t>manager_name</t>
  </si>
  <si>
    <t>balance</t>
  </si>
  <si>
    <t>days_overdue</t>
  </si>
  <si>
    <t>bucket</t>
  </si>
  <si>
    <t>Block A</t>
  </si>
  <si>
    <t>Manager A</t>
  </si>
  <si>
    <t>D08_30</t>
  </si>
  <si>
    <t>Current</t>
  </si>
  <si>
    <t>as_of_date</t>
  </si>
  <si>
    <t>total_arrears</t>
  </si>
  <si>
    <t>active_leases</t>
  </si>
  <si>
    <t>highest_bucket</t>
  </si>
  <si>
    <t>average_arrears</t>
  </si>
  <si>
    <t>Row Labels</t>
  </si>
  <si>
    <t>Grand Total</t>
  </si>
  <si>
    <t>Sum of total_arrears</t>
  </si>
  <si>
    <t>Sum of balance</t>
  </si>
  <si>
    <t>B11</t>
  </si>
  <si>
    <t>B12</t>
  </si>
  <si>
    <t>Block B</t>
  </si>
  <si>
    <t>Manager B</t>
  </si>
  <si>
    <t>B10</t>
  </si>
  <si>
    <t>Sum of days_overdue</t>
  </si>
  <si>
    <t>unit</t>
  </si>
  <si>
    <t>Count of tenant_name</t>
  </si>
  <si>
    <t>Column Labels</t>
  </si>
  <si>
    <t>(Multiple Items)</t>
  </si>
  <si>
    <t/>
  </si>
  <si>
    <t>D31_60</t>
  </si>
  <si>
    <t>D01_07</t>
  </si>
  <si>
    <t>D60_PLUS</t>
  </si>
  <si>
    <t>Count of active_leases</t>
  </si>
  <si>
    <t>Auto-updates from SnapshotData - Click refresh everytime you run the pipeline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</si>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</sst>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_-[$R-1C09]* #,##0.00_-;\-[$R-1C09]* #,##0.00_-;_-[$R-1C09]* &quot;-&quot;??_-;_-@_-"/>
  </numFmts>
  <fonts count="8" x14ac:knownFonts="1">
    <font>
      <sz val="11"/>
      <color theme="1"/>
      <name val="Calibri"/>
      <family val="2"/>
      <scheme val="minor"/>
    </font>
    <font>
      <b/>
      <sz val="18"/>
      <color rgb="FF111827"/>
      <name val="Calibri"/>
      <family val="2"/>
    </font>
    <font>
      <sz val="10"/>
      <color rgb="FF4B5563"/>
      <name val="Calibri"/>
      <family val="2"/>
    </font>
    <font>
      <b/>
      <sz val="11"/>
      <color rgb="FF374151"/>
      <name val="Calibri"/>
      <family val="2"/>
    </font>
    <font>
      <b/>
      <sz val="14"/>
      <color rgb="FF111827"/>
      <name val="Calibri"/>
      <family val="2"/>
    </font>
    <font>
      <b/>
      <sz val="12"/>
      <color rgb="FF111827"/>
      <name val="Calibri"/>
      <family val="2"/>
    </font>
    <font>
      <sz val="8"/>
      <name val="Calibri"/>
      <family val="2"/>
      <scheme val="minor"/>
    </font>
    <font>
      <sz val="11"/>
      <color rgb="FF8B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6" fontId="0" fillId="0" borderId="0" xfId="0" applyNumberFormat="1"/>
    <xf numFmtId="0" fontId="7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0" fillId="2" borderId="1" xfId="0" applyFill="1" applyBorder="1"/>
    <xf numFmtId="1" fontId="4" fillId="2" borderId="1" xfId="0" applyNumberFormat="1" applyFont="1" applyFill="1" applyBorder="1" applyAlignment="1">
      <alignment horizontal="left" vertical="center"/>
    </xf>
    <xf numFmtId="166" fontId="4" fillId="2" borderId="1" xfId="0" applyNumberFormat="1" applyFont="1" applyFill="1" applyBorder="1" applyAlignment="1">
      <alignment horizontal="left" vertical="center"/>
    </xf>
    <xf numFmtId="166" fontId="0" fillId="2" borderId="1" xfId="0" applyNumberFormat="1" applyFill="1" applyBorder="1"/>
    <xf numFmtId="164" fontId="4" fillId="2" borderId="1" xfId="0" applyNumberFormat="1" applyFont="1" applyFill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left" vertical="center"/>
    </xf>
    <xf numFmtId="0" fontId="0" fillId="0" borderId="0" xfId="0" applyNumberFormat="1"/>
  </cellXfs>
  <cellStyles count="1">
    <cellStyle name="Normal" xfId="0" builtinId="0"/>
  </cellStyles>
  <dxfs count="31">
    <dxf>
      <numFmt numFmtId="166" formatCode="_-[$R-1C09]* #,##0.00_-;\-[$R-1C09]* #,##0.00_-;_-[$R-1C09]* &quot;-&quot;??_-;_-@_-"/>
    </dxf>
    <dxf>
      <numFmt numFmtId="1" formatCode="0"/>
    </dxf>
    <dxf>
      <numFmt numFmtId="166" formatCode="_-[$R-1C09]* #,##0.00_-;\-[$R-1C09]* #,##0.00_-;_-[$R-1C09]* &quot;-&quot;??_-;_-@_-"/>
    </dxf>
    <dxf>
      <numFmt numFmtId="1" formatCode="0"/>
    </dxf>
    <dxf>
      <numFmt numFmtId="166" formatCode="_-[$R-1C09]* #,##0.00_-;\-[$R-1C09]* #,##0.00_-;_-[$R-1C09]* &quot;-&quot;??_-;_-@_-"/>
    </dxf>
    <dxf>
      <numFmt numFmtId="1" formatCode="0"/>
    </dxf>
    <dxf>
      <numFmt numFmtId="166" formatCode="_-[$R-1C09]* #,##0.00_-;\-[$R-1C09]* #,##0.00_-;_-[$R-1C09]* &quot;-&quot;??_-;_-@_-"/>
    </dxf>
    <dxf>
      <numFmt numFmtId="166" formatCode="_-[$R-1C09]* #,##0.00_-;\-[$R-1C09]* #,##0.00_-;_-[$R-1C09]* &quot;-&quot;??_-;_-@_-"/>
    </dxf>
    <dxf>
      <numFmt numFmtId="166" formatCode="_-[$R-1C09]* #,##0.00_-;\-[$R-1C09]* #,##0.00_-;_-[$R-1C09]* &quot;-&quot;??_-;_-@_-"/>
    </dxf>
    <dxf>
      <numFmt numFmtId="166" formatCode="_-[$R-1C09]* #,##0.00_-;\-[$R-1C09]* #,##0.00_-;_-[$R-1C09]* &quot;-&quot;??_-;_-@_-"/>
    </dxf>
    <dxf>
      <numFmt numFmtId="1" formatCode="0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_-[$R-1C09]* #,##0.00_-;\-[$R-1C09]* #,##0.00_-;_-[$R-1C09]* &quot;-&quot;??_-;_-@_-"/>
    </dxf>
    <dxf>
      <numFmt numFmtId="166" formatCode="_-[$R-1C09]* #,##0.00_-;\-[$R-1C09]* #,##0.00_-;_-[$R-1C09]* &quot;-&quot;??_-;_-@_-"/>
    </dxf>
    <dxf>
      <numFmt numFmtId="166" formatCode="_-[$R-1C09]* #,##0.00_-;\-[$R-1C09]* #,##0.00_-;_-[$R-1C09]* &quot;-&quot;??_-;_-@_-"/>
    </dxf>
    <dxf>
      <numFmt numFmtId="1" formatCode="0"/>
    </dxf>
    <dxf>
      <numFmt numFmtId="166" formatCode="_-[$R-1C09]* #,##0.00_-;\-[$R-1C09]* #,##0.00_-;_-[$R-1C09]* &quot;-&quot;??_-;_-@_-"/>
    </dxf>
    <dxf>
      <numFmt numFmtId="1" formatCode="0"/>
    </dxf>
    <dxf>
      <numFmt numFmtId="166" formatCode="_-[$R-1C09]* #,##0.00_-;\-[$R-1C09]* #,##0.00_-;_-[$R-1C09]* &quot;-&quot;??_-;_-@_-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E07D"/>
        </patternFill>
      </fill>
    </dxf>
    <dxf>
      <font>
        <color rgb="FF9C5700"/>
      </font>
      <fill>
        <patternFill>
          <bgColor rgb="FFFFFFB3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E07D"/>
      <color rgb="FFFFFFB3"/>
      <color rgb="FFFDB603"/>
      <color rgb="FFF7D5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[tenant_arrears_mock.xlsx]Pivots!PivotTable15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By Buckets</a:t>
            </a:r>
          </a:p>
        </c:rich>
      </c:tx>
      <c:layout>
        <c:manualLayout>
          <c:xMode val="edge"/>
          <c:yMode val="edge"/>
          <c:x val="0.4097697787776528"/>
          <c:y val="0.124645996013983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4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5"/>
        <c:spPr>
          <a:solidFill>
            <a:srgbClr val="FDB603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6"/>
        <c:spPr>
          <a:solidFill>
            <a:srgbClr val="FFFF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</c:pivotFmts>
    <c:plotArea>
      <c:layout>
        <c:manualLayout>
          <c:layoutTarget val="inner"/>
          <c:xMode val="edge"/>
          <c:yMode val="edge"/>
          <c:x val="0.30033070866141731"/>
          <c:y val="0.25446771435728216"/>
          <c:w val="0.60133608298962626"/>
          <c:h val="0.63545768397207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Pivots!$B$3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F0E-4003-9957-6D28793AEEE1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0-EF0E-4003-9957-6D28793AEEE1}"/>
              </c:ext>
            </c:extLst>
          </c:dPt>
          <c:dPt>
            <c:idx val="2"/>
            <c:invertIfNegative val="0"/>
            <c:bubble3D val="0"/>
            <c:spPr>
              <a:solidFill>
                <a:srgbClr val="FDB603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EF0E-4003-9957-6D28793AEEE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EF0E-4003-9957-6D28793AEEE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Pivots!$A$4:$A$9</c:f>
              <c:strCache>
                <c:ptCount val="5"/>
                <c:pt idx="0">
                  <c:v>Current</c:v>
                </c:pt>
                <c:pt idx="1">
                  <c:v>D01_07</c:v>
                </c:pt>
                <c:pt idx="2">
                  <c:v>D08_30</c:v>
                </c:pt>
                <c:pt idx="3">
                  <c:v>D31_60</c:v>
                </c:pt>
                <c:pt idx="4">
                  <c:v>D60_PLUS</c:v>
                </c:pt>
              </c:strCache>
            </c:strRef>
          </c:cat>
          <c:val>
            <c:numRef>
              <c:f>Pivots!$B$4:$B$9</c:f>
              <c:numCache>
                <c:formatCode>_-[$R-1C09]* #,##0.00_-;\-[$R-1C09]* #,##0.00_-;_-[$R-1C09]* "-"??_-;_-@_-</c:formatCode>
                <c:ptCount val="5"/>
                <c:pt idx="0">
                  <c:v>4500</c:v>
                </c:pt>
                <c:pt idx="1">
                  <c:v>6750</c:v>
                </c:pt>
                <c:pt idx="2">
                  <c:v>37400</c:v>
                </c:pt>
                <c:pt idx="3">
                  <c:v>21050</c:v>
                </c:pt>
                <c:pt idx="4">
                  <c:v>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32-422F-9BE3-78AE6315F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39159376"/>
        <c:axId val="139183376"/>
      </c:barChart>
      <c:catAx>
        <c:axId val="139159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3376"/>
        <c:crosses val="autoZero"/>
        <c:auto val="1"/>
        <c:lblAlgn val="ctr"/>
        <c:lblOffset val="100"/>
        <c:noMultiLvlLbl val="0"/>
      </c:catAx>
      <c:valAx>
        <c:axId val="139183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-1C09]* #,##0.00_-;\-[$R-1C09]* #,##0.00_-;_-[$R-1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59376"/>
        <c:crosses val="autoZero"/>
        <c:crossBetween val="between"/>
        <c:majorUnit val="50000"/>
        <c:minorUnit val="2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[tenant_arrears_mock.xlsx]Pivots!PivotTable16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Workload By Manager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Pivots!$E$3</c:f>
              <c:strCache>
                <c:ptCount val="1"/>
                <c:pt idx="0">
                  <c:v>Count of tenant_name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Pivots!$D$4:$D$6</c:f>
              <c:strCache>
                <c:ptCount val="2"/>
                <c:pt idx="0">
                  <c:v>Manager A</c:v>
                </c:pt>
                <c:pt idx="1">
                  <c:v>Manager B</c:v>
                </c:pt>
              </c:strCache>
            </c:strRef>
          </c:cat>
          <c:val>
            <c:numRef>
              <c:f>Pivots!$E$4:$E$6</c:f>
              <c:numCache>
                <c:formatCode>General</c:formatCode>
                <c:ptCount val="2"/>
                <c:pt idx="0">
                  <c:v>9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1-4E1B-B13F-1ED2E3E1E38C}"/>
            </c:ext>
          </c:extLst>
        </c:ser>
        <c:ser>
          <c:idx val="1"/>
          <c:order val="1"/>
          <c:tx>
            <c:strRef>
              <c:f>Pivots!$F$3</c:f>
              <c:strCache>
                <c:ptCount val="1"/>
                <c:pt idx="0">
                  <c:v>Sum of balance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Pivots!$D$4:$D$6</c:f>
              <c:strCache>
                <c:ptCount val="2"/>
                <c:pt idx="0">
                  <c:v>Manager A</c:v>
                </c:pt>
                <c:pt idx="1">
                  <c:v>Manager B</c:v>
                </c:pt>
              </c:strCache>
            </c:strRef>
          </c:cat>
          <c:val>
            <c:numRef>
              <c:f>Pivots!$F$4:$F$6</c:f>
              <c:numCache>
                <c:formatCode>_-[$R-1C09]* #,##0.00_-;\-[$R-1C09]* #,##0.00_-;_-[$R-1C09]* "-"??_-;_-@_-</c:formatCode>
                <c:ptCount val="2"/>
                <c:pt idx="0">
                  <c:v>25800</c:v>
                </c:pt>
                <c:pt idx="1">
                  <c:v>51700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1-4E1B-B13F-1ED2E3E1E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9168976"/>
        <c:axId val="139167056"/>
      </c:barChart>
      <c:catAx>
        <c:axId val="1391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67056"/>
        <c:crosses val="autoZero"/>
        <c:auto val="1"/>
        <c:lblAlgn val="ctr"/>
        <c:lblOffset val="100"/>
        <c:noMultiLvlLbl val="0"/>
      </c:catAx>
      <c:valAx>
        <c:axId val="139167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916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[tenant_arrears_mock.xlsx]Pivots!PivotTable17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Arrears By Property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00B05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FFC0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FFC0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7"/>
        <c:spPr>
          <a:solidFill>
            <a:srgbClr val="FFC0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8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rgbClr val="FFFF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FF0000"/>
          </a:soli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Pivots!$I$3:$I$4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Pivots!$H$5:$H$7</c:f>
              <c:strCache>
                <c:ptCount val="2"/>
                <c:pt idx="0">
                  <c:v>Block A</c:v>
                </c:pt>
                <c:pt idx="1">
                  <c:v>Block B</c:v>
                </c:pt>
              </c:strCache>
            </c:strRef>
          </c:cat>
          <c:val>
            <c:numRef>
              <c:f>Pivots!$I$5:$I$7</c:f>
              <c:numCache>
                <c:formatCode>_-[$R-1C09]* #,##0.00_-;\-[$R-1C09]* #,##0.00_-;_-[$R-1C09]* "-"??_-;_-@_-</c:formatCode>
                <c:ptCount val="2"/>
                <c:pt idx="0">
                  <c:v>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51E-8639-6559C974687D}"/>
            </c:ext>
          </c:extLst>
        </c:ser>
        <c:ser>
          <c:idx val="1"/>
          <c:order val="1"/>
          <c:tx>
            <c:strRef>
              <c:f>Pivots!$J$3:$J$4</c:f>
              <c:strCache>
                <c:ptCount val="1"/>
                <c:pt idx="0">
                  <c:v>D01_07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9E9-467C-A54C-99AED32577C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9E9-467C-A54C-99AED32577C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Pivots!$H$5:$H$7</c:f>
              <c:strCache>
                <c:ptCount val="2"/>
                <c:pt idx="0">
                  <c:v>Block A</c:v>
                </c:pt>
                <c:pt idx="1">
                  <c:v>Block B</c:v>
                </c:pt>
              </c:strCache>
            </c:strRef>
          </c:cat>
          <c:val>
            <c:numRef>
              <c:f>Pivots!$J$5:$J$7</c:f>
              <c:numCache>
                <c:formatCode>_-[$R-1C09]* #,##0.00_-;\-[$R-1C09]* #,##0.00_-;_-[$R-1C09]* "-"??_-;_-@_-</c:formatCode>
                <c:ptCount val="2"/>
                <c:pt idx="0">
                  <c:v>6750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A9-451E-8639-6559C974687D}"/>
            </c:ext>
          </c:extLst>
        </c:ser>
        <c:ser>
          <c:idx val="2"/>
          <c:order val="2"/>
          <c:tx>
            <c:strRef>
              <c:f>Pivots!$K$3:$K$4</c:f>
              <c:strCache>
                <c:ptCount val="1"/>
                <c:pt idx="0">
                  <c:v>D08_30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B72-4EF5-899A-264046D7DD4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EB72-4EF5-899A-264046D7DD4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Pivots!$H$5:$H$7</c:f>
              <c:strCache>
                <c:ptCount val="2"/>
                <c:pt idx="0">
                  <c:v>Block A</c:v>
                </c:pt>
                <c:pt idx="1">
                  <c:v>Block B</c:v>
                </c:pt>
              </c:strCache>
            </c:strRef>
          </c:cat>
          <c:val>
            <c:numRef>
              <c:f>Pivots!$K$5:$K$7</c:f>
              <c:numCache>
                <c:formatCode>_-[$R-1C09]* #,##0.00_-;\-[$R-1C09]* #,##0.00_-;_-[$R-1C09]* "-"??_-;_-@_-</c:formatCode>
                <c:ptCount val="2"/>
                <c:pt idx="1">
                  <c:v>37400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1F-4C21-8CFD-E8E502F27176}"/>
            </c:ext>
          </c:extLst>
        </c:ser>
        <c:ser>
          <c:idx val="3"/>
          <c:order val="3"/>
          <c:tx>
            <c:strRef>
              <c:f>Pivots!$L$3:$L$4</c:f>
              <c:strCache>
                <c:ptCount val="1"/>
                <c:pt idx="0">
                  <c:v>D31_60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Pivots!$H$5:$H$7</c:f>
              <c:strCache>
                <c:ptCount val="2"/>
                <c:pt idx="0">
                  <c:v>Block A</c:v>
                </c:pt>
                <c:pt idx="1">
                  <c:v>Block B</c:v>
                </c:pt>
              </c:strCache>
            </c:strRef>
          </c:cat>
          <c:val>
            <c:numRef>
              <c:f>Pivots!$L$5:$L$7</c:f>
              <c:numCache>
                <c:formatCode>_-[$R-1C09]* #,##0.00_-;\-[$R-1C09]* #,##0.00_-;_-[$R-1C09]* "-"??_-;_-@_-</c:formatCode>
                <c:ptCount val="2"/>
                <c:pt idx="0">
                  <c:v>6750</c:v>
                </c:pt>
                <c:pt idx="1">
                  <c:v>14300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81F-4C21-8CFD-E8E502F27176}"/>
            </c:ext>
          </c:extLst>
        </c:ser>
        <c:ser>
          <c:idx val="4"/>
          <c:order val="4"/>
          <c:tx>
            <c:strRef>
              <c:f>Pivots!$M$3:$M$4</c:f>
              <c:strCache>
                <c:ptCount val="1"/>
                <c:pt idx="0">
                  <c:v>D60_PLUS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Pivots!$H$5:$H$7</c:f>
              <c:strCache>
                <c:ptCount val="2"/>
                <c:pt idx="0">
                  <c:v>Block A</c:v>
                </c:pt>
                <c:pt idx="1">
                  <c:v>Block B</c:v>
                </c:pt>
              </c:strCache>
            </c:strRef>
          </c:cat>
          <c:val>
            <c:numRef>
              <c:f>Pivots!$M$5:$M$7</c:f>
              <c:numCache>
                <c:formatCode>_-[$R-1C09]* #,##0.00_-;\-[$R-1C09]* #,##0.00_-;_-[$R-1C09]* "-"??_-;_-@_-</c:formatCode>
                <c:ptCount val="2"/>
                <c:pt idx="0">
                  <c:v>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81F-4C21-8CFD-E8E502F27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8741264"/>
        <c:axId val="138730224"/>
      </c:barChart>
      <c:catAx>
        <c:axId val="1387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30224"/>
        <c:crosses val="autoZero"/>
        <c:auto val="1"/>
        <c:lblAlgn val="ctr"/>
        <c:lblOffset val="100"/>
        <c:noMultiLvlLbl val="0"/>
      </c:catAx>
      <c:valAx>
        <c:axId val="1387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-1C09]* #,##0.00_-;\-[$R-1C09]* #,##0.00_-;_-[$R-1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[tenant_arrears_mock.xlsx]Pivots!PivotTable19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Trend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ln w="34925" cap="rnd">
            <a:solidFill>
              <a:schemeClr val="accent2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ln w="34925" cap="rnd">
            <a:solidFill>
              <a:schemeClr val="accent2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13"/>
        <c:spPr>
          <a:ln w="34925" cap="rnd">
            <a:solidFill>
              <a:schemeClr val="accent2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Pivots!$Q$3</c:f>
              <c:strCache>
                <c:ptCount val="1"/>
                <c:pt idx="0">
                  <c:v>Sum of total_arrears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2">
                        <a:shade val="51000"/>
                        <a:satMod val="130000"/>
                      </a:schemeClr>
                    </a:gs>
                    <a:gs pos="80000">
                      <a:schemeClr val="accent2">
                        <a:shade val="93000"/>
                        <a:satMod val="130000"/>
                      </a:schemeClr>
                    </a:gs>
                    <a:gs pos="100000">
                      <a:schemeClr val="accent2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2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  <a:scene3d>
                  <a:camera prst="orthographicFront">
                    <a:rot lat="0" lon="0" rev="0"/>
                  </a:camera>
                  <a:lightRig rig="threePt" dir="t">
                    <a:rot lat="0" lon="0" rev="1200000"/>
                  </a:lightRig>
                </a:scene3d>
                <a:sp3d>
                  <a:bevelT w="63500" h="25400"/>
                </a:sp3d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9D2-45E9-A687-CFF8764E97B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Pivots!$P$4:$P$6</c:f>
              <c:strCache>
                <c:ptCount val="2"/>
                <c:pt idx="0">
                  <c:v>2/22/2026</c:v>
                </c:pt>
                <c:pt idx="1">
                  <c:v>(blank)</c:v>
                </c:pt>
              </c:strCache>
            </c:strRef>
          </c:cat>
          <c:val>
            <c:numRef>
              <c:f>Pivots!$Q$4:$Q$6</c:f>
              <c:numCache>
                <c:formatCode>_-[$R-1C09]* #,##0.00_-;\-[$R-1C09]* #,##0.00_-;_-[$R-1C09]* "-"??_-;_-@_-</c:formatCode>
                <c:ptCount val="2"/>
                <c:pt idx="0">
                  <c:v>77500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D2-45E9-A687-CFF8764E97BC}"/>
            </c:ext>
          </c:extLst>
        </c:ser>
        <c:ser>
          <c:idx val="1"/>
          <c:order val="1"/>
          <c:tx>
            <c:strRef>
              <c:f>Pivots!$R$3</c:f>
              <c:strCache>
                <c:ptCount val="1"/>
                <c:pt idx="0">
                  <c:v>Count of active_leases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Pivots!$P$4:$P$6</c:f>
              <c:strCache>
                <c:ptCount val="2"/>
                <c:pt idx="0">
                  <c:v>2/22/2026</c:v>
                </c:pt>
                <c:pt idx="1">
                  <c:v>(blank)</c:v>
                </c:pt>
              </c:strCache>
            </c:strRef>
          </c:cat>
          <c:val>
            <c:numRef>
              <c:f>Pivots!$R$4:$R$6</c:f>
              <c:numCache>
                <c:formatCode>0</c:formatCode>
                <c:ptCount val="2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2B-44BE-8482-97E5E8A03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40784"/>
        <c:axId val="138734064"/>
      </c:lineChart>
      <c:catAx>
        <c:axId val="13874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34064"/>
        <c:crosses val="autoZero"/>
        <c:auto val="1"/>
        <c:lblAlgn val="ctr"/>
        <c:lblOffset val="100"/>
        <c:noMultiLvlLbl val="0"/>
      </c:catAx>
      <c:valAx>
        <c:axId val="138734064"/>
        <c:scaling>
          <c:orientation val="minMax"/>
        </c:scaling>
        <c:delete val="1"/>
        <c:axPos val="l"/>
        <c:numFmt formatCode="_-[$R-1C09]* #,##0.00_-;\-[$R-1C09]* #,##0.00_-;_-[$R-1C09]* &quot;-&quot;??_-;_-@_-" sourceLinked="1"/>
        <c:majorTickMark val="none"/>
        <c:minorTickMark val="none"/>
        <c:tickLblPos val="nextTo"/>
        <c:crossAx val="13874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13607</xdr:rowOff>
    </xdr:from>
    <xdr:to>
      <xdr:col>21</xdr:col>
      <xdr:colOff>108858</xdr:colOff>
      <xdr:row>37</xdr:row>
      <xdr:rowOff>27214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6884550D-5DEA-9827-9A74-3FEFBA3816F6}"/>
            </a:ext>
          </a:extLst>
        </xdr:cNvPr>
        <xdr:cNvGrpSpPr/>
      </xdr:nvGrpSpPr>
      <xdr:grpSpPr>
        <a:xfrm>
          <a:off x="0" y="2966357"/>
          <a:ext cx="17947822" cy="4395107"/>
          <a:chOff x="0" y="3405187"/>
          <a:chExt cx="14914231" cy="2297907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5983933-7B99-EF17-A36C-42CC9C31531A}"/>
              </a:ext>
            </a:extLst>
          </xdr:cNvPr>
          <xdr:cNvGraphicFramePr/>
        </xdr:nvGraphicFramePr>
        <xdr:xfrm>
          <a:off x="0" y="3405188"/>
          <a:ext cx="3984522" cy="22979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CB962D40-6C8E-D7B9-5ED4-B05150B02B25}"/>
              </a:ext>
            </a:extLst>
          </xdr:cNvPr>
          <xdr:cNvGraphicFramePr/>
        </xdr:nvGraphicFramePr>
        <xdr:xfrm>
          <a:off x="3984521" y="3405188"/>
          <a:ext cx="3772255" cy="22979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CA710170-BF55-0B23-C5AF-56E50ECDEF5F}"/>
              </a:ext>
            </a:extLst>
          </xdr:cNvPr>
          <xdr:cNvGraphicFramePr/>
        </xdr:nvGraphicFramePr>
        <xdr:xfrm>
          <a:off x="7756777" y="3405187"/>
          <a:ext cx="3516527" cy="229790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5" name="Chart 5">
            <a:extLst>
              <a:ext uri="{FF2B5EF4-FFF2-40B4-BE49-F238E27FC236}">
                <a16:creationId xmlns:a16="http://schemas.microsoft.com/office/drawing/2014/main" id="{972410CF-92E6-90F7-2284-2EFD9F56E735}"/>
              </a:ext>
            </a:extLst>
          </xdr:cNvPr>
          <xdr:cNvGraphicFramePr/>
        </xdr:nvGraphicFramePr>
        <xdr:xfrm>
          <a:off x="11270918" y="3405188"/>
          <a:ext cx="3643313" cy="22979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omputer Science" refreshedDate="46075.541130092592" createdVersion="8" refreshedVersion="8" minRefreshableVersion="3" recordCount="12" xr:uid="{D7E36ED9-C469-45BD-B6DD-ACE52D565CE8}">
  <cacheSource type="worksheet">
    <worksheetSource name="arrears_snapshot_latest"/>
  </cacheSource>
  <cacheFields count="8">
    <cacheField name="lease_id" numFmtId="0">
      <sharedItems count="12">
        <s v="T011"/>
        <s v="T012"/>
        <s v="T010"/>
        <s v="T008"/>
        <s v="T009"/>
        <s v="T007"/>
        <s v="T001"/>
        <s v="T002"/>
        <s v="T003"/>
        <s v="T004"/>
        <s v="T005"/>
        <s v="T006"/>
      </sharedItems>
    </cacheField>
    <cacheField name="tenant_name" numFmtId="0">
      <sharedItems count="12">
        <s v="Tshepo Mabuza"/>
        <s v="Refilwe Mkhize"/>
        <s v="Ayesha Khan"/>
        <s v="Musa Pillay"/>
        <s v="Neo van Wyk"/>
        <s v="Palesa Molefe"/>
        <s v="Sipho Dlamini"/>
        <s v="Lerato Mokoena"/>
        <s v="Thabo Nkosi"/>
        <s v="Zanele Khumalo"/>
        <s v="Kagiso Ndlovu"/>
        <s v="Nomsa Maseko"/>
      </sharedItems>
    </cacheField>
    <cacheField name="property_name" numFmtId="0">
      <sharedItems count="2">
        <s v="Block B"/>
        <s v="Block A"/>
      </sharedItems>
    </cacheField>
    <cacheField name="manager_name" numFmtId="0">
      <sharedItems count="2">
        <s v="Manager B"/>
        <s v="Manager A"/>
      </sharedItems>
    </cacheField>
    <cacheField name="balance" numFmtId="0">
      <sharedItems containsSemiMixedTypes="0" containsString="0" containsNumber="1" containsInteger="1" minValue="0" maxValue="18700" count="6">
        <n v="18700"/>
        <n v="14300"/>
        <n v="7800"/>
        <n v="6750"/>
        <n v="4500"/>
        <n v="0"/>
      </sharedItems>
    </cacheField>
    <cacheField name="unit" numFmtId="0">
      <sharedItems count="12">
        <s v="B11"/>
        <s v="B12"/>
        <s v="B10"/>
        <s v="A08"/>
        <s v="A09"/>
        <s v="A07"/>
        <s v="A01"/>
        <s v="A02"/>
        <s v="A03"/>
        <s v="A04"/>
        <s v="A05"/>
        <s v="A06"/>
      </sharedItems>
    </cacheField>
    <cacheField name="days_overdue" numFmtId="0">
      <sharedItems containsString="0" containsBlank="1" containsNumber="1" containsInteger="1" minValue="0" maxValue="83"/>
    </cacheField>
    <cacheField name="bucket" numFmtId="0">
      <sharedItems count="5">
        <s v="D08_30"/>
        <s v="D31_60"/>
        <s v="D60_PLUS"/>
        <s v="D01_07"/>
        <s v="Curr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omputer Science" refreshedDate="46075.541130787038" createdVersion="8" refreshedVersion="8" minRefreshableVersion="3" recordCount="10" xr:uid="{732516E9-FF67-4F3E-B86B-43CB617836E0}">
  <cacheSource type="worksheet">
    <worksheetSource name="arrears_history"/>
  </cacheSource>
  <cacheFields count="5">
    <cacheField name="as_of_date" numFmtId="14">
      <sharedItems containsNonDate="0" containsDate="1" containsString="0" containsBlank="1" minDate="2026-02-21T00:00:00" maxDate="2026-02-23T00:00:00" count="3">
        <d v="2026-02-22T00:00:00"/>
        <m/>
        <d v="2026-02-21T00:00:00" u="1"/>
      </sharedItems>
    </cacheField>
    <cacheField name="total_arrears" numFmtId="0">
      <sharedItems containsString="0" containsBlank="1" containsNumber="1" containsInteger="1" minValue="77500" maxValue="77500"/>
    </cacheField>
    <cacheField name="active_leases" numFmtId="0">
      <sharedItems containsString="0" containsBlank="1" containsNumber="1" containsInteger="1" minValue="7" maxValue="7"/>
    </cacheField>
    <cacheField name="highest_bucket" numFmtId="0">
      <sharedItems/>
    </cacheField>
    <cacheField name="average_arrears" numFmtId="0">
      <sharedItems containsString="0" containsBlank="1" containsNumber="1" minValue="11071.43" maxValue="11071.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x v="0"/>
    <x v="0"/>
    <x v="0"/>
    <x v="0"/>
    <n v="21"/>
    <x v="0"/>
  </r>
  <r>
    <x v="1"/>
    <x v="1"/>
    <x v="0"/>
    <x v="0"/>
    <x v="0"/>
    <x v="1"/>
    <n v="21"/>
    <x v="0"/>
  </r>
  <r>
    <x v="2"/>
    <x v="2"/>
    <x v="0"/>
    <x v="0"/>
    <x v="1"/>
    <x v="2"/>
    <n v="52"/>
    <x v="1"/>
  </r>
  <r>
    <x v="3"/>
    <x v="3"/>
    <x v="1"/>
    <x v="1"/>
    <x v="2"/>
    <x v="3"/>
    <n v="83"/>
    <x v="2"/>
  </r>
  <r>
    <x v="4"/>
    <x v="4"/>
    <x v="1"/>
    <x v="1"/>
    <x v="3"/>
    <x v="4"/>
    <n v="52"/>
    <x v="1"/>
  </r>
  <r>
    <x v="5"/>
    <x v="5"/>
    <x v="1"/>
    <x v="1"/>
    <x v="3"/>
    <x v="5"/>
    <n v="1"/>
    <x v="3"/>
  </r>
  <r>
    <x v="6"/>
    <x v="6"/>
    <x v="1"/>
    <x v="1"/>
    <x v="4"/>
    <x v="6"/>
    <n v="0"/>
    <x v="4"/>
  </r>
  <r>
    <x v="7"/>
    <x v="7"/>
    <x v="1"/>
    <x v="1"/>
    <x v="5"/>
    <x v="7"/>
    <m/>
    <x v="4"/>
  </r>
  <r>
    <x v="8"/>
    <x v="8"/>
    <x v="1"/>
    <x v="1"/>
    <x v="5"/>
    <x v="8"/>
    <m/>
    <x v="4"/>
  </r>
  <r>
    <x v="9"/>
    <x v="9"/>
    <x v="1"/>
    <x v="1"/>
    <x v="5"/>
    <x v="9"/>
    <m/>
    <x v="4"/>
  </r>
  <r>
    <x v="10"/>
    <x v="10"/>
    <x v="1"/>
    <x v="1"/>
    <x v="5"/>
    <x v="10"/>
    <m/>
    <x v="4"/>
  </r>
  <r>
    <x v="11"/>
    <x v="11"/>
    <x v="1"/>
    <x v="1"/>
    <x v="5"/>
    <x v="11"/>
    <m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77500"/>
    <n v="7"/>
    <s v="D08_30"/>
    <n v="11071.43"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  <r>
    <x v="1"/>
    <m/>
    <m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3113FF-42EE-4D65-83E1-FE8F7A725804}" name="PivotTable18" cacheId="1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3">
  <location ref="H5:J12" firstHeaderRow="0" firstDataRow="1" firstDataCol="1" rowPageCount="1" colPageCount="1"/>
  <pivotFields count="8">
    <pivotField axis="axisRow" showAll="0" measureFilter="1" sortType="descending">
      <items count="13">
        <item x="1"/>
        <item x="0"/>
        <item x="2"/>
        <item x="4"/>
        <item x="3"/>
        <item x="5"/>
        <item x="11"/>
        <item x="10"/>
        <item x="9"/>
        <item x="8"/>
        <item x="7"/>
        <item x="6"/>
        <item t="default"/>
      </items>
    </pivotField>
    <pivotField axis="axisRow" showAll="0">
      <items count="13">
        <item sd="0" x="2"/>
        <item sd="0" x="10"/>
        <item sd="0" x="7"/>
        <item sd="0" x="3"/>
        <item sd="0" x="4"/>
        <item sd="0" x="11"/>
        <item sd="0" x="5"/>
        <item sd="0" x="1"/>
        <item sd="0" x="6"/>
        <item sd="0" x="8"/>
        <item sd="0" x="0"/>
        <item sd="0" x="9"/>
        <item t="default"/>
      </items>
    </pivotField>
    <pivotField showAll="0"/>
    <pivotField showAll="0"/>
    <pivotField axis="axisPage" dataField="1" numFmtId="166" multipleItemSelectionAllowed="1" showAll="0">
      <items count="7">
        <item h="1" x="5"/>
        <item x="3"/>
        <item x="2"/>
        <item x="1"/>
        <item x="0"/>
        <item x="4"/>
        <item t="default"/>
      </items>
    </pivotField>
    <pivotField axis="axisRow" showAll="0">
      <items count="13">
        <item x="6"/>
        <item x="7"/>
        <item x="8"/>
        <item x="9"/>
        <item x="10"/>
        <item x="11"/>
        <item x="5"/>
        <item x="3"/>
        <item x="4"/>
        <item x="2"/>
        <item x="0"/>
        <item x="1"/>
        <item t="default"/>
      </items>
    </pivotField>
    <pivotField dataField="1" showAll="0"/>
    <pivotField showAll="0"/>
  </pivotFields>
  <rowFields count="3">
    <field x="1"/>
    <field x="5"/>
    <field x="0"/>
  </rowFields>
  <rowItems count="7">
    <i>
      <x/>
    </i>
    <i>
      <x v="3"/>
    </i>
    <i>
      <x v="4"/>
    </i>
    <i>
      <x v="6"/>
    </i>
    <i>
      <x v="7"/>
    </i>
    <i>
      <x v="8"/>
    </i>
    <i>
      <x v="10"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balance" fld="4" baseField="0" baseItem="0"/>
    <dataField name="Sum of days_overdue" fld="6" baseField="0" baseItem="0"/>
  </dataFields>
  <formats count="2">
    <format dxfId="26">
      <pivotArea dataOnly="0" outline="0" fieldPosition="0">
        <references count="1">
          <reference field="4" count="0"/>
        </references>
      </pivotArea>
    </format>
    <format dxfId="25">
      <pivotArea dataOnly="0" outline="0" fieldPosition="0">
        <references count="1">
          <reference field="4294967294" count="1">
            <x v="1"/>
          </reference>
        </references>
      </pivotArea>
    </format>
  </formats>
  <conditionalFormats count="5">
    <conditionalFormat priority="1">
      <pivotAreas count="1">
        <pivotArea outline="0" fieldPosition="0">
          <references count="1">
            <reference field="4294967294" count="1">
              <x v="1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4">
      <pivotAreas count="1">
        <pivotArea outline="0" fieldPosition="0">
          <references count="1">
            <reference field="4294967294" count="1">
              <x v="1"/>
            </reference>
          </references>
        </pivotArea>
      </pivotAreas>
    </conditionalFormat>
    <conditionalFormat priority="5">
      <pivotAreas count="1">
        <pivotArea outline="0" fieldPosition="0">
          <references count="1">
            <reference field="4294967294" count="1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F6B95-80CF-404B-9916-C94FFC412D35}" name="PivotTable16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D3:F6" firstHeaderRow="0" firstDataRow="1" firstDataCol="1"/>
  <pivotFields count="8">
    <pivotField showAll="0"/>
    <pivotField dataField="1" showAll="0"/>
    <pivotField showAll="0"/>
    <pivotField axis="axisRow" showAll="0">
      <items count="3">
        <item x="1"/>
        <item x="0"/>
        <item t="default"/>
      </items>
    </pivotField>
    <pivotField dataField="1"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enant_name" fld="1" subtotal="count" baseField="0" baseItem="0"/>
    <dataField name="Sum of balance" fld="4" baseField="0" baseItem="0" numFmtId="166"/>
  </dataFields>
  <formats count="1">
    <format dxfId="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4FBEAE-F245-4DB9-8894-1E09F7C0473A}" name="PivotTable1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3:B9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showAll="0"/>
    <pivotField axis="axisRow" showAll="0" sortType="ascending">
      <items count="6">
        <item x="4"/>
        <item x="3"/>
        <item x="0"/>
        <item x="1"/>
        <item x="2"/>
        <item t="default"/>
      </items>
    </pivotField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balance" fld="4" baseField="0" baseItem="0" numFmtId="166"/>
  </dataFields>
  <formats count="1">
    <format dxfId="21">
      <pivotArea outline="0" collapsedLevelsAreSubtotals="1" fieldPosition="0"/>
    </format>
  </formats>
  <chartFormats count="5">
    <chartFormat chart="2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3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3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3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52EFCD-FD18-41AF-82DE-3542578D0AAF}" name="PivotTable17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H3:N7" firstHeaderRow="1" firstDataRow="2" firstDataCol="1"/>
  <pivotFields count="8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axis="axisCol" showAll="0" sortType="ascending">
      <items count="6">
        <item x="4"/>
        <item x="3"/>
        <item x="0"/>
        <item x="1"/>
        <item x="2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7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balance" fld="4" baseField="0" baseItem="0" numFmtId="166"/>
  </dataFields>
  <formats count="1">
    <format dxfId="22">
      <pivotArea outline="0" collapsedLevelsAreSubtotals="1" fieldPosition="0"/>
    </format>
  </formats>
  <chartFormats count="9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7" count="1" selected="0">
            <x v="2"/>
          </reference>
        </references>
      </pivotArea>
    </chartFormat>
    <chartFormat chart="1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7" count="1" selected="0">
            <x v="2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70111A-6DE5-4ABC-AE27-875767976A48}" name="PivotTable19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P3:R6" firstHeaderRow="0" firstDataRow="1" firstDataCol="1"/>
  <pivotFields count="5">
    <pivotField axis="axisRow" numFmtId="14" showAll="0">
      <items count="4">
        <item m="1" x="2"/>
        <item x="0"/>
        <item x="1"/>
        <item t="default"/>
      </items>
    </pivotField>
    <pivotField dataField="1" showAll="0"/>
    <pivotField dataField="1" showAll="0"/>
    <pivotField showAll="0"/>
    <pivotField showAll="0"/>
  </pivotFields>
  <rowFields count="1">
    <field x="0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arrears" fld="1" baseField="0" baseItem="0" numFmtId="166"/>
    <dataField name="Count of active_leases" fld="2" subtotal="count" baseField="0" baseItem="1"/>
  </dataFields>
  <formats count="2">
    <format dxfId="24">
      <pivotArea outline="0" collapsedLevelsAreSubtotals="1" fieldPosition="0"/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4F107E1-0BF3-405A-9007-D582EC0C0B9A}" autoFormatId="16" applyNumberFormats="0" applyBorderFormats="0" applyFontFormats="0" applyPatternFormats="0" applyAlignmentFormats="0" applyWidthHeightFormats="0">
  <queryTableRefresh nextId="9">
    <queryTableFields count="8">
      <queryTableField id="1" name="lease_id" tableColumnId="1"/>
      <queryTableField id="2" name="tenant_name" tableColumnId="2"/>
      <queryTableField id="3" name="property_name" tableColumnId="3"/>
      <queryTableField id="4" name="manager_name" tableColumnId="4"/>
      <queryTableField id="5" name="balance" tableColumnId="5"/>
      <queryTableField id="6" name="unit" tableColumnId="6"/>
      <queryTableField id="7" name="days_overdue" tableColumnId="7"/>
      <queryTableField id="8" name="bucket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C57F3E-487F-4C9E-A659-8A9E10386B85}" autoFormatId="16" applyNumberFormats="0" applyBorderFormats="0" applyFontFormats="0" applyPatternFormats="0" applyAlignmentFormats="0" applyWidthHeightFormats="0">
  <queryTableRefresh nextId="6">
    <queryTableFields count="5">
      <queryTableField id="1" name="as_of_date" tableColumnId="1"/>
      <queryTableField id="2" name="total_arrears" tableColumnId="2"/>
      <queryTableField id="3" name="active_leases" tableColumnId="3"/>
      <queryTableField id="4" name="highest_bucket" tableColumnId="4"/>
      <queryTableField id="5" name="average_arrears" tableColumnId="5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enants" displayName="tblTenants" ref="A1:J13">
  <autoFilter ref="A1:J13" xr:uid="{00000000-0009-0000-0100-000001000000}"/>
  <tableColumns count="10">
    <tableColumn id="1" xr3:uid="{00000000-0010-0000-0000-000001000000}" name="Lease_ID"/>
    <tableColumn id="2" xr3:uid="{00000000-0010-0000-0000-000002000000}" name="Tenant_Name"/>
    <tableColumn id="9" xr3:uid="{3B81029A-9093-4DEB-AC77-F6E63092F4D2}" name="Property_Name">
      <calculatedColumnFormula>"Block " &amp; LEFT(tblTenants[[#This Row],[Unit]],1)</calculatedColumnFormula>
    </tableColumn>
    <tableColumn id="3" xr3:uid="{00000000-0010-0000-0000-000003000000}" name="Unit"/>
    <tableColumn id="4" xr3:uid="{00000000-0010-0000-0000-000004000000}" name="Contact_Email"/>
    <tableColumn id="5" xr3:uid="{00000000-0010-0000-0000-000005000000}" name="phone"/>
    <tableColumn id="6" xr3:uid="{00000000-0010-0000-0000-000006000000}" name="Monthly_Rent"/>
    <tableColumn id="7" xr3:uid="{00000000-0010-0000-0000-000007000000}" name="Due_Day"/>
    <tableColumn id="8" xr3:uid="{00000000-0010-0000-0000-000008000000}" name="status"/>
    <tableColumn id="10" xr3:uid="{CFB3E338-8285-437D-B289-D5E75CBA6303}" name="Manager_Name">
      <calculatedColumnFormula>"Manager " &amp; LEFT(tblTenants[[#This Row],[Unit]],1)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edger" displayName="tblLedger" ref="A1:F65">
  <autoFilter ref="A1:F65" xr:uid="{00000000-0009-0000-0100-000002000000}"/>
  <sortState xmlns:xlrd2="http://schemas.microsoft.com/office/spreadsheetml/2017/richdata2" ref="A2:F65">
    <sortCondition descending="1" ref="C1:C65"/>
  </sortState>
  <tableColumns count="6">
    <tableColumn id="1" xr3:uid="{00000000-0010-0000-0100-000001000000}" name="Entry_ID"/>
    <tableColumn id="2" xr3:uid="{00000000-0010-0000-0100-000002000000}" name="Lease_ID"/>
    <tableColumn id="3" xr3:uid="{00000000-0010-0000-0100-000003000000}" name="Entry_Date"/>
    <tableColumn id="4" xr3:uid="{00000000-0010-0000-0100-000004000000}" name="Entry_Type"/>
    <tableColumn id="5" xr3:uid="{00000000-0010-0000-0100-000005000000}" name="Amount"/>
    <tableColumn id="6" xr3:uid="{00000000-0010-0000-0100-000006000000}" name="Referen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401AE8D-EEDF-4060-BE42-B0A3D292D634}" name="arrears_snapshot_latest" displayName="arrears_snapshot_latest" ref="A1:H13" tableType="queryTable" totalsRowShown="0">
  <autoFilter ref="A1:H13" xr:uid="{8401AE8D-EEDF-4060-BE42-B0A3D292D634}"/>
  <tableColumns count="8">
    <tableColumn id="1" xr3:uid="{2FCB3FCA-E159-4036-80A4-4AEE312B246A}" uniqueName="1" name="lease_id" queryTableFieldId="1" dataDxfId="19"/>
    <tableColumn id="2" xr3:uid="{8DEDCE8E-7961-466F-AF43-E0E0647E841F}" uniqueName="2" name="tenant_name" queryTableFieldId="2" dataDxfId="18"/>
    <tableColumn id="3" xr3:uid="{FBA667C1-85EB-45F3-B95B-7C641F6AD80B}" uniqueName="3" name="property_name" queryTableFieldId="3" dataDxfId="17"/>
    <tableColumn id="4" xr3:uid="{F4543037-0286-4BE3-A8A1-56FB7919EAED}" uniqueName="4" name="manager_name" queryTableFieldId="4" dataDxfId="16"/>
    <tableColumn id="5" xr3:uid="{C077798E-CA95-41EB-A0CD-379132A31651}" uniqueName="5" name="balance" queryTableFieldId="5"/>
    <tableColumn id="6" xr3:uid="{E71BF7CE-68D5-47B3-9D81-F418C784E6AF}" uniqueName="6" name="unit" queryTableFieldId="6" dataDxfId="15"/>
    <tableColumn id="7" xr3:uid="{1A895B95-5BAD-479B-B823-8F3D789F0C01}" uniqueName="7" name="days_overdue" queryTableFieldId="7" dataDxfId="14"/>
    <tableColumn id="8" xr3:uid="{4ADC440F-88EB-4403-A97B-3467CBD480D4}" uniqueName="8" name="bucket" queryTableFieldId="8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1585E3C-9B34-4EC6-8748-9F9B29CCBC82}" name="arrears_history" displayName="arrears_history" ref="A1:E11" tableType="queryTable" totalsRowShown="0">
  <autoFilter ref="A1:E11" xr:uid="{71585E3C-9B34-4EC6-8748-9F9B29CCBC82}"/>
  <tableColumns count="5">
    <tableColumn id="1" xr3:uid="{C518058A-1CB6-44B3-A42C-07772FA4F547}" uniqueName="1" name="as_of_date" queryTableFieldId="1" dataDxfId="12"/>
    <tableColumn id="2" xr3:uid="{7E231CE5-962F-43DD-8661-71324AF4E542}" uniqueName="2" name="total_arrears" queryTableFieldId="2"/>
    <tableColumn id="3" xr3:uid="{B57D81DE-0A6A-4DF2-9224-2A8F17134B32}" uniqueName="3" name="active_leases" queryTableFieldId="3"/>
    <tableColumn id="4" xr3:uid="{E77FCABE-7A61-4BBE-A9E1-4B6EA858E3B2}" uniqueName="4" name="highest_bucket" queryTableFieldId="4" dataDxfId="11"/>
    <tableColumn id="5" xr3:uid="{71D546DA-C0CE-428D-9393-ADE815B19860}" uniqueName="5" name="average_arrear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showGridLines="0" zoomScale="70" zoomScaleNormal="70" workbookViewId="0">
      <pane ySplit="3" topLeftCell="A4" activePane="bottomLeft" state="frozen"/>
      <selection pane="bottomLeft" activeCell="A13" sqref="A13"/>
    </sheetView>
  </sheetViews>
  <sheetFormatPr defaultRowHeight="15" x14ac:dyDescent="0.25"/>
  <cols>
    <col min="1" max="6" width="12" customWidth="1"/>
    <col min="8" max="8" width="26.5703125" bestFit="1" customWidth="1"/>
    <col min="9" max="9" width="20.5703125" bestFit="1" customWidth="1"/>
    <col min="10" max="10" width="26.7109375" bestFit="1" customWidth="1"/>
    <col min="11" max="11" width="11.42578125" bestFit="1" customWidth="1"/>
    <col min="12" max="14" width="12.42578125" bestFit="1" customWidth="1"/>
    <col min="15" max="15" width="20.7109375" bestFit="1" customWidth="1"/>
    <col min="16" max="20" width="4.5703125" bestFit="1" customWidth="1"/>
    <col min="21" max="21" width="20.140625" bestFit="1" customWidth="1"/>
    <col min="22" max="22" width="25.85546875" bestFit="1" customWidth="1"/>
  </cols>
  <sheetData>
    <row r="1" spans="1:11" ht="23.25" x14ac:dyDescent="0.35">
      <c r="A1" s="2" t="s">
        <v>0</v>
      </c>
    </row>
    <row r="2" spans="1:11" x14ac:dyDescent="0.25">
      <c r="A2" s="3" t="s">
        <v>189</v>
      </c>
    </row>
    <row r="3" spans="1:11" x14ac:dyDescent="0.25">
      <c r="H3" s="8" t="s">
        <v>158</v>
      </c>
      <c r="I3" s="11" t="s">
        <v>183</v>
      </c>
    </row>
    <row r="4" spans="1:11" ht="15.75" x14ac:dyDescent="0.25">
      <c r="A4" s="13" t="s">
        <v>1</v>
      </c>
      <c r="B4" s="14"/>
      <c r="C4" s="14"/>
      <c r="D4" s="13" t="s">
        <v>2</v>
      </c>
      <c r="E4" s="14"/>
      <c r="F4" s="14"/>
      <c r="H4" s="4" t="s">
        <v>6</v>
      </c>
      <c r="I4" s="5"/>
      <c r="J4" s="5"/>
      <c r="K4" s="5"/>
    </row>
    <row r="5" spans="1:11" ht="18.75" x14ac:dyDescent="0.25">
      <c r="A5" s="18">
        <f>MAX(arrears_history[as_of_date])</f>
        <v>46075</v>
      </c>
      <c r="B5" s="14"/>
      <c r="C5" s="14"/>
      <c r="D5" s="16">
        <f>SUM(arrears_snapshot_latest[balance])</f>
        <v>77500</v>
      </c>
      <c r="E5" s="17"/>
      <c r="F5" s="17"/>
      <c r="H5" s="8" t="s">
        <v>170</v>
      </c>
      <c r="I5" t="s">
        <v>173</v>
      </c>
      <c r="J5" s="6" t="s">
        <v>179</v>
      </c>
    </row>
    <row r="6" spans="1:11" x14ac:dyDescent="0.25">
      <c r="H6" s="10" t="s">
        <v>57</v>
      </c>
      <c r="I6" s="11">
        <v>14300</v>
      </c>
      <c r="J6" s="6">
        <v>52</v>
      </c>
    </row>
    <row r="7" spans="1:11" x14ac:dyDescent="0.25">
      <c r="A7" s="13" t="s">
        <v>3</v>
      </c>
      <c r="B7" s="14"/>
      <c r="C7" s="14"/>
      <c r="D7" s="13" t="s">
        <v>4</v>
      </c>
      <c r="E7" s="14"/>
      <c r="F7" s="14"/>
      <c r="H7" s="10" t="s">
        <v>47</v>
      </c>
      <c r="I7" s="11">
        <v>7800</v>
      </c>
      <c r="J7" s="6">
        <v>83</v>
      </c>
    </row>
    <row r="8" spans="1:11" ht="18.75" x14ac:dyDescent="0.25">
      <c r="A8" s="15">
        <f>COUNTIF(arrears_snapshot_latest[balance],"&gt;0")</f>
        <v>7</v>
      </c>
      <c r="B8" s="14"/>
      <c r="C8" s="14"/>
      <c r="D8" s="19">
        <f>IFERROR(COUNTIF(arrears_snapshot_latest[balance],"&gt;0")/COUNTA(arrears_snapshot_latest[lease_id]),0)</f>
        <v>0.58333333333333337</v>
      </c>
      <c r="E8" s="14"/>
      <c r="F8" s="14"/>
      <c r="H8" s="10" t="s">
        <v>52</v>
      </c>
      <c r="I8" s="11">
        <v>6750</v>
      </c>
      <c r="J8" s="6">
        <v>52</v>
      </c>
    </row>
    <row r="9" spans="1:11" x14ac:dyDescent="0.25">
      <c r="H9" s="10" t="s">
        <v>42</v>
      </c>
      <c r="I9" s="11">
        <v>6750</v>
      </c>
      <c r="J9" s="6">
        <v>1</v>
      </c>
    </row>
    <row r="10" spans="1:11" x14ac:dyDescent="0.25">
      <c r="A10" s="13" t="s">
        <v>5</v>
      </c>
      <c r="B10" s="14"/>
      <c r="C10" s="14"/>
      <c r="H10" s="10" t="s">
        <v>65</v>
      </c>
      <c r="I10" s="11">
        <v>18700</v>
      </c>
      <c r="J10" s="6">
        <v>21</v>
      </c>
    </row>
    <row r="11" spans="1:11" ht="18.75" x14ac:dyDescent="0.25">
      <c r="A11" s="15">
        <f>IFERROR(AVERAGEIF(arrears_snapshot_latest[balance],"&gt;0",arrears_snapshot_latest[days_overdue]),0)</f>
        <v>32.857142857142854</v>
      </c>
      <c r="B11" s="14"/>
      <c r="C11" s="14"/>
      <c r="H11" s="10" t="s">
        <v>11</v>
      </c>
      <c r="I11" s="11">
        <v>4500</v>
      </c>
      <c r="J11" s="6">
        <v>0</v>
      </c>
    </row>
    <row r="12" spans="1:11" x14ac:dyDescent="0.25">
      <c r="H12" s="10" t="s">
        <v>61</v>
      </c>
      <c r="I12" s="11">
        <v>18700</v>
      </c>
      <c r="J12" s="6">
        <v>21</v>
      </c>
    </row>
    <row r="14" spans="1:11" x14ac:dyDescent="0.25">
      <c r="D14" s="5"/>
    </row>
    <row r="23" spans="1:1" x14ac:dyDescent="0.25">
      <c r="A23" s="12"/>
    </row>
    <row r="24" spans="1:1" x14ac:dyDescent="0.25">
      <c r="A24" s="12"/>
    </row>
    <row r="25" spans="1:1" x14ac:dyDescent="0.25">
      <c r="A25" s="12"/>
    </row>
    <row r="26" spans="1:1" x14ac:dyDescent="0.25">
      <c r="A26" s="12"/>
    </row>
  </sheetData>
  <mergeCells count="10">
    <mergeCell ref="A11:C11"/>
    <mergeCell ref="D5:F5"/>
    <mergeCell ref="A5:C5"/>
    <mergeCell ref="D8:F8"/>
    <mergeCell ref="A8:C8"/>
    <mergeCell ref="D4:F4"/>
    <mergeCell ref="A7:C7"/>
    <mergeCell ref="D7:F7"/>
    <mergeCell ref="A4:C4"/>
    <mergeCell ref="A10:C10"/>
  </mergeCells>
  <conditionalFormatting pivot="1" sqref="I6:I12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{3BA8C782-18B8-453F-BDBB-D380CA4D74B6}</x14:id>
        </ext>
      </extLst>
    </cfRule>
  </conditionalFormatting>
  <conditionalFormatting pivot="1" sqref="J6:J12">
    <cfRule type="cellIs" dxfId="30" priority="4" operator="greaterThan">
      <formula>59</formula>
    </cfRule>
  </conditionalFormatting>
  <conditionalFormatting pivot="1" sqref="J6:J12">
    <cfRule type="cellIs" dxfId="29" priority="3" operator="between">
      <formula>8</formula>
      <formula>30</formula>
    </cfRule>
  </conditionalFormatting>
  <conditionalFormatting pivot="1" sqref="J6:J12">
    <cfRule type="cellIs" dxfId="28" priority="2" operator="between">
      <formula>30</formula>
      <formula>60</formula>
    </cfRule>
  </conditionalFormatting>
  <conditionalFormatting pivot="1" sqref="J6:J12">
    <cfRule type="cellIs" dxfId="27" priority="1" operator="between">
      <formula>0</formula>
      <formula>7</formula>
    </cfRule>
  </conditionalFormatting>
  <pageMargins left="0.75" right="0.75" top="1" bottom="1" header="0.5" footer="0.5"/>
  <pageSetup paperSize="9" scale="2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3BA8C782-18B8-453F-BDBB-D380CA4D74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I6:I12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1.140625" bestFit="1" customWidth="1"/>
    <col min="2" max="2" width="15.85546875" bestFit="1" customWidth="1"/>
    <col min="3" max="3" width="15.85546875" customWidth="1"/>
    <col min="4" max="4" width="7.140625" bestFit="1" customWidth="1"/>
    <col min="5" max="5" width="24.140625" bestFit="1" customWidth="1"/>
    <col min="6" max="6" width="13.5703125" bestFit="1" customWidth="1"/>
    <col min="7" max="7" width="16.140625" bestFit="1" customWidth="1"/>
    <col min="8" max="8" width="11.140625" bestFit="1" customWidth="1"/>
    <col min="10" max="10" width="17.5703125" bestFit="1" customWidth="1"/>
  </cols>
  <sheetData>
    <row r="1" spans="1:10" x14ac:dyDescent="0.25">
      <c r="A1" t="s">
        <v>147</v>
      </c>
      <c r="B1" t="s">
        <v>142</v>
      </c>
      <c r="C1" t="s">
        <v>152</v>
      </c>
      <c r="D1" t="s">
        <v>7</v>
      </c>
      <c r="E1" t="s">
        <v>145</v>
      </c>
      <c r="F1" t="s">
        <v>8</v>
      </c>
      <c r="G1" t="s">
        <v>143</v>
      </c>
      <c r="H1" t="s">
        <v>144</v>
      </c>
      <c r="I1" t="s">
        <v>9</v>
      </c>
      <c r="J1" t="s">
        <v>153</v>
      </c>
    </row>
    <row r="2" spans="1:10" x14ac:dyDescent="0.25">
      <c r="A2" t="s">
        <v>10</v>
      </c>
      <c r="B2" t="s">
        <v>11</v>
      </c>
      <c r="C2" t="str">
        <f>"Block " &amp; LEFT(tblTenants[[#This Row],[Unit]],1)</f>
        <v>Block A</v>
      </c>
      <c r="D2" t="s">
        <v>12</v>
      </c>
      <c r="E2" t="s">
        <v>13</v>
      </c>
      <c r="F2" t="s">
        <v>14</v>
      </c>
      <c r="G2">
        <v>4500</v>
      </c>
      <c r="H2">
        <v>1</v>
      </c>
      <c r="I2" t="s">
        <v>15</v>
      </c>
      <c r="J2" t="str">
        <f>"Manager " &amp; LEFT(tblTenants[[#This Row],[Unit]],1)</f>
        <v>Manager A</v>
      </c>
    </row>
    <row r="3" spans="1:10" x14ac:dyDescent="0.25">
      <c r="A3" t="s">
        <v>16</v>
      </c>
      <c r="B3" t="s">
        <v>17</v>
      </c>
      <c r="C3" t="str">
        <f>"Block " &amp; LEFT(tblTenants[[#This Row],[Unit]],1)</f>
        <v>Block A</v>
      </c>
      <c r="D3" t="s">
        <v>18</v>
      </c>
      <c r="E3" t="s">
        <v>19</v>
      </c>
      <c r="F3" t="s">
        <v>20</v>
      </c>
      <c r="G3">
        <v>6000</v>
      </c>
      <c r="H3">
        <v>1</v>
      </c>
      <c r="I3" t="s">
        <v>15</v>
      </c>
      <c r="J3" t="str">
        <f>"Manager " &amp; LEFT(tblTenants[[#This Row],[Unit]],1)</f>
        <v>Manager A</v>
      </c>
    </row>
    <row r="4" spans="1:10" x14ac:dyDescent="0.25">
      <c r="A4" t="s">
        <v>21</v>
      </c>
      <c r="B4" t="s">
        <v>22</v>
      </c>
      <c r="C4" t="str">
        <f>"Block " &amp; LEFT(tblTenants[[#This Row],[Unit]],1)</f>
        <v>Block A</v>
      </c>
      <c r="D4" t="s">
        <v>23</v>
      </c>
      <c r="E4" t="s">
        <v>24</v>
      </c>
      <c r="F4" t="s">
        <v>25</v>
      </c>
      <c r="G4">
        <v>5200</v>
      </c>
      <c r="H4">
        <v>1</v>
      </c>
      <c r="I4" t="s">
        <v>15</v>
      </c>
      <c r="J4" t="str">
        <f>"Manager " &amp; LEFT(tblTenants[[#This Row],[Unit]],1)</f>
        <v>Manager A</v>
      </c>
    </row>
    <row r="5" spans="1:10" x14ac:dyDescent="0.25">
      <c r="A5" t="s">
        <v>26</v>
      </c>
      <c r="B5" t="s">
        <v>27</v>
      </c>
      <c r="C5" t="str">
        <f>"Block " &amp; LEFT(tblTenants[[#This Row],[Unit]],1)</f>
        <v>Block A</v>
      </c>
      <c r="D5" t="s">
        <v>28</v>
      </c>
      <c r="E5" t="s">
        <v>29</v>
      </c>
      <c r="F5" t="s">
        <v>30</v>
      </c>
      <c r="G5">
        <v>4500</v>
      </c>
      <c r="H5">
        <v>1</v>
      </c>
      <c r="I5" t="s">
        <v>15</v>
      </c>
      <c r="J5" t="str">
        <f>"Manager " &amp; LEFT(tblTenants[[#This Row],[Unit]],1)</f>
        <v>Manager A</v>
      </c>
    </row>
    <row r="6" spans="1:10" x14ac:dyDescent="0.25">
      <c r="A6" t="s">
        <v>31</v>
      </c>
      <c r="B6" t="s">
        <v>32</v>
      </c>
      <c r="C6" t="str">
        <f>"Block " &amp; LEFT(tblTenants[[#This Row],[Unit]],1)</f>
        <v>Block A</v>
      </c>
      <c r="D6" t="s">
        <v>33</v>
      </c>
      <c r="E6" t="s">
        <v>34</v>
      </c>
      <c r="F6" t="s">
        <v>35</v>
      </c>
      <c r="G6">
        <v>4500</v>
      </c>
      <c r="H6">
        <v>1</v>
      </c>
      <c r="I6" t="s">
        <v>15</v>
      </c>
      <c r="J6" t="str">
        <f>"Manager " &amp; LEFT(tblTenants[[#This Row],[Unit]],1)</f>
        <v>Manager A</v>
      </c>
    </row>
    <row r="7" spans="1:10" x14ac:dyDescent="0.25">
      <c r="A7" t="s">
        <v>36</v>
      </c>
      <c r="B7" t="s">
        <v>37</v>
      </c>
      <c r="C7" t="str">
        <f>"Block " &amp; LEFT(tblTenants[[#This Row],[Unit]],1)</f>
        <v>Block A</v>
      </c>
      <c r="D7" t="s">
        <v>38</v>
      </c>
      <c r="E7" t="s">
        <v>39</v>
      </c>
      <c r="F7" t="s">
        <v>40</v>
      </c>
      <c r="G7">
        <v>6800</v>
      </c>
      <c r="H7">
        <v>1</v>
      </c>
      <c r="I7" t="s">
        <v>15</v>
      </c>
      <c r="J7" t="str">
        <f>"Manager " &amp; LEFT(tblTenants[[#This Row],[Unit]],1)</f>
        <v>Manager A</v>
      </c>
    </row>
    <row r="8" spans="1:10" x14ac:dyDescent="0.25">
      <c r="A8" t="s">
        <v>41</v>
      </c>
      <c r="B8" t="s">
        <v>42</v>
      </c>
      <c r="C8" t="str">
        <f>"Block " &amp; LEFT(tblTenants[[#This Row],[Unit]],1)</f>
        <v>Block A</v>
      </c>
      <c r="D8" t="s">
        <v>43</v>
      </c>
      <c r="E8" t="s">
        <v>44</v>
      </c>
      <c r="F8" t="s">
        <v>45</v>
      </c>
      <c r="G8">
        <v>4500</v>
      </c>
      <c r="H8">
        <v>1</v>
      </c>
      <c r="I8" t="s">
        <v>15</v>
      </c>
      <c r="J8" t="str">
        <f>"Manager " &amp; LEFT(tblTenants[[#This Row],[Unit]],1)</f>
        <v>Manager A</v>
      </c>
    </row>
    <row r="9" spans="1:10" x14ac:dyDescent="0.25">
      <c r="A9" t="s">
        <v>46</v>
      </c>
      <c r="B9" t="s">
        <v>47</v>
      </c>
      <c r="C9" t="str">
        <f>"Block " &amp; LEFT(tblTenants[[#This Row],[Unit]],1)</f>
        <v>Block A</v>
      </c>
      <c r="D9" t="s">
        <v>48</v>
      </c>
      <c r="E9" t="s">
        <v>49</v>
      </c>
      <c r="F9" t="s">
        <v>50</v>
      </c>
      <c r="G9">
        <v>5200</v>
      </c>
      <c r="H9">
        <v>1</v>
      </c>
      <c r="I9" t="s">
        <v>15</v>
      </c>
      <c r="J9" t="str">
        <f>"Manager " &amp; LEFT(tblTenants[[#This Row],[Unit]],1)</f>
        <v>Manager A</v>
      </c>
    </row>
    <row r="10" spans="1:10" x14ac:dyDescent="0.25">
      <c r="A10" t="s">
        <v>51</v>
      </c>
      <c r="B10" t="s">
        <v>52</v>
      </c>
      <c r="C10" t="str">
        <f>"Block " &amp; LEFT(tblTenants[[#This Row],[Unit]],1)</f>
        <v>Block A</v>
      </c>
      <c r="D10" t="s">
        <v>53</v>
      </c>
      <c r="E10" t="s">
        <v>54</v>
      </c>
      <c r="F10" t="s">
        <v>55</v>
      </c>
      <c r="G10">
        <v>4500</v>
      </c>
      <c r="H10">
        <v>1</v>
      </c>
      <c r="I10" t="s">
        <v>15</v>
      </c>
      <c r="J10" t="str">
        <f>"Manager " &amp; LEFT(tblTenants[[#This Row],[Unit]],1)</f>
        <v>Manager A</v>
      </c>
    </row>
    <row r="11" spans="1:10" x14ac:dyDescent="0.25">
      <c r="A11" t="s">
        <v>56</v>
      </c>
      <c r="B11" t="s">
        <v>57</v>
      </c>
      <c r="C11" t="str">
        <f>"Block " &amp; LEFT(tblTenants[[#This Row],[Unit]],1)</f>
        <v>Block B</v>
      </c>
      <c r="D11" t="s">
        <v>178</v>
      </c>
      <c r="E11" t="s">
        <v>58</v>
      </c>
      <c r="F11" t="s">
        <v>59</v>
      </c>
      <c r="G11">
        <v>5200</v>
      </c>
      <c r="H11">
        <v>1</v>
      </c>
      <c r="I11" t="s">
        <v>15</v>
      </c>
      <c r="J11" t="str">
        <f>"Manager " &amp; LEFT(tblTenants[[#This Row],[Unit]],1)</f>
        <v>Manager B</v>
      </c>
    </row>
    <row r="12" spans="1:10" x14ac:dyDescent="0.25">
      <c r="A12" t="s">
        <v>60</v>
      </c>
      <c r="B12" t="s">
        <v>61</v>
      </c>
      <c r="C12" t="str">
        <f>"Block " &amp; LEFT(tblTenants[[#This Row],[Unit]],1)</f>
        <v>Block B</v>
      </c>
      <c r="D12" t="s">
        <v>174</v>
      </c>
      <c r="E12" t="s">
        <v>62</v>
      </c>
      <c r="F12" t="s">
        <v>63</v>
      </c>
      <c r="G12">
        <v>6800</v>
      </c>
      <c r="H12">
        <v>1</v>
      </c>
      <c r="I12" t="s">
        <v>15</v>
      </c>
      <c r="J12" t="str">
        <f>"Manager " &amp; LEFT(tblTenants[[#This Row],[Unit]],1)</f>
        <v>Manager B</v>
      </c>
    </row>
    <row r="13" spans="1:10" x14ac:dyDescent="0.25">
      <c r="A13" t="s">
        <v>64</v>
      </c>
      <c r="B13" t="s">
        <v>65</v>
      </c>
      <c r="C13" t="str">
        <f>"Block " &amp; LEFT(tblTenants[[#This Row],[Unit]],1)</f>
        <v>Block B</v>
      </c>
      <c r="D13" t="s">
        <v>175</v>
      </c>
      <c r="E13" t="s">
        <v>66</v>
      </c>
      <c r="F13" t="s">
        <v>67</v>
      </c>
      <c r="G13">
        <v>6800</v>
      </c>
      <c r="H13">
        <v>1</v>
      </c>
      <c r="I13" t="s">
        <v>15</v>
      </c>
      <c r="J13" t="str">
        <f>"Manager " &amp; LEFT(tblTenants[[#This Row],[Unit]],1)</f>
        <v>Manager B</v>
      </c>
    </row>
  </sheetData>
  <phoneticPr fontId="6" type="noConversion"/>
  <pageMargins left="0.75" right="0.75" top="1" bottom="1" header="0.5" footer="0.5"/>
  <ignoredErrors>
    <ignoredError sqref="C2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5"/>
  <sheetViews>
    <sheetView workbookViewId="0">
      <pane ySplit="1" topLeftCell="A2" activePane="bottomLeft" state="frozen"/>
      <selection pane="bottomLeft" activeCell="C68" sqref="C68"/>
    </sheetView>
  </sheetViews>
  <sheetFormatPr defaultRowHeight="15" x14ac:dyDescent="0.25"/>
  <cols>
    <col min="2" max="2" width="11.140625" bestFit="1" customWidth="1"/>
    <col min="3" max="3" width="13" bestFit="1" customWidth="1"/>
    <col min="4" max="4" width="13.140625" bestFit="1" customWidth="1"/>
    <col min="5" max="5" width="10.42578125" bestFit="1" customWidth="1"/>
    <col min="6" max="6" width="19.5703125" bestFit="1" customWidth="1"/>
  </cols>
  <sheetData>
    <row r="1" spans="1:6" x14ac:dyDescent="0.25">
      <c r="A1" t="s">
        <v>146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</row>
    <row r="2" spans="1:6" x14ac:dyDescent="0.25">
      <c r="A2" t="s">
        <v>73</v>
      </c>
      <c r="B2" t="s">
        <v>10</v>
      </c>
      <c r="C2" s="1">
        <v>46075</v>
      </c>
      <c r="D2" t="s">
        <v>69</v>
      </c>
      <c r="E2">
        <v>4500</v>
      </c>
      <c r="F2" t="s">
        <v>74</v>
      </c>
    </row>
    <row r="3" spans="1:6" x14ac:dyDescent="0.25">
      <c r="A3" t="s">
        <v>114</v>
      </c>
      <c r="B3" t="s">
        <v>41</v>
      </c>
      <c r="C3" s="1">
        <v>46074</v>
      </c>
      <c r="D3" t="s">
        <v>69</v>
      </c>
      <c r="E3">
        <v>4500</v>
      </c>
      <c r="F3" t="s">
        <v>74</v>
      </c>
    </row>
    <row r="4" spans="1:6" x14ac:dyDescent="0.25">
      <c r="A4" t="s">
        <v>73</v>
      </c>
      <c r="B4" t="s">
        <v>10</v>
      </c>
      <c r="C4" s="1">
        <v>46054</v>
      </c>
      <c r="D4" t="s">
        <v>69</v>
      </c>
      <c r="E4">
        <v>4500</v>
      </c>
      <c r="F4" t="s">
        <v>74</v>
      </c>
    </row>
    <row r="5" spans="1:6" x14ac:dyDescent="0.25">
      <c r="A5" t="s">
        <v>80</v>
      </c>
      <c r="B5" t="s">
        <v>10</v>
      </c>
      <c r="C5" s="1">
        <v>46054</v>
      </c>
      <c r="D5" t="s">
        <v>76</v>
      </c>
      <c r="E5">
        <v>4500</v>
      </c>
      <c r="F5" t="s">
        <v>81</v>
      </c>
    </row>
    <row r="6" spans="1:6" x14ac:dyDescent="0.25">
      <c r="A6" t="s">
        <v>84</v>
      </c>
      <c r="B6" t="s">
        <v>16</v>
      </c>
      <c r="C6" s="1">
        <v>46054</v>
      </c>
      <c r="D6" t="s">
        <v>69</v>
      </c>
      <c r="E6">
        <v>6000</v>
      </c>
      <c r="F6" t="s">
        <v>74</v>
      </c>
    </row>
    <row r="7" spans="1:6" x14ac:dyDescent="0.25">
      <c r="A7" t="s">
        <v>87</v>
      </c>
      <c r="B7" t="s">
        <v>16</v>
      </c>
      <c r="C7" s="1">
        <v>46054</v>
      </c>
      <c r="D7" t="s">
        <v>76</v>
      </c>
      <c r="E7">
        <v>6000</v>
      </c>
      <c r="F7" t="s">
        <v>81</v>
      </c>
    </row>
    <row r="8" spans="1:6" x14ac:dyDescent="0.25">
      <c r="A8" t="s">
        <v>90</v>
      </c>
      <c r="B8" t="s">
        <v>21</v>
      </c>
      <c r="C8" s="1">
        <v>46054</v>
      </c>
      <c r="D8" t="s">
        <v>69</v>
      </c>
      <c r="E8">
        <v>5200</v>
      </c>
      <c r="F8" t="s">
        <v>74</v>
      </c>
    </row>
    <row r="9" spans="1:6" x14ac:dyDescent="0.25">
      <c r="A9" t="s">
        <v>93</v>
      </c>
      <c r="B9" t="s">
        <v>21</v>
      </c>
      <c r="C9" s="1">
        <v>46054</v>
      </c>
      <c r="D9" t="s">
        <v>76</v>
      </c>
      <c r="E9">
        <v>5200</v>
      </c>
      <c r="F9" t="s">
        <v>81</v>
      </c>
    </row>
    <row r="10" spans="1:6" x14ac:dyDescent="0.25">
      <c r="A10" t="s">
        <v>96</v>
      </c>
      <c r="B10" t="s">
        <v>26</v>
      </c>
      <c r="C10" s="1">
        <v>46054</v>
      </c>
      <c r="D10" t="s">
        <v>69</v>
      </c>
      <c r="E10">
        <v>4500</v>
      </c>
      <c r="F10" t="s">
        <v>74</v>
      </c>
    </row>
    <row r="11" spans="1:6" x14ac:dyDescent="0.25">
      <c r="A11" t="s">
        <v>99</v>
      </c>
      <c r="B11" t="s">
        <v>26</v>
      </c>
      <c r="C11" s="1">
        <v>46054</v>
      </c>
      <c r="D11" t="s">
        <v>76</v>
      </c>
      <c r="E11">
        <v>4500</v>
      </c>
      <c r="F11" t="s">
        <v>81</v>
      </c>
    </row>
    <row r="12" spans="1:6" x14ac:dyDescent="0.25">
      <c r="A12" t="s">
        <v>102</v>
      </c>
      <c r="B12" t="s">
        <v>31</v>
      </c>
      <c r="C12" s="1">
        <v>46054</v>
      </c>
      <c r="D12" t="s">
        <v>69</v>
      </c>
      <c r="E12">
        <v>4500</v>
      </c>
      <c r="F12" t="s">
        <v>74</v>
      </c>
    </row>
    <row r="13" spans="1:6" x14ac:dyDescent="0.25">
      <c r="A13" t="s">
        <v>105</v>
      </c>
      <c r="B13" t="s">
        <v>31</v>
      </c>
      <c r="C13" s="1">
        <v>46054</v>
      </c>
      <c r="D13" t="s">
        <v>76</v>
      </c>
      <c r="E13">
        <v>4500</v>
      </c>
      <c r="F13" t="s">
        <v>81</v>
      </c>
    </row>
    <row r="14" spans="1:6" x14ac:dyDescent="0.25">
      <c r="A14" t="s">
        <v>108</v>
      </c>
      <c r="B14" t="s">
        <v>36</v>
      </c>
      <c r="C14" s="1">
        <v>46054</v>
      </c>
      <c r="D14" t="s">
        <v>69</v>
      </c>
      <c r="E14">
        <v>6800</v>
      </c>
      <c r="F14" t="s">
        <v>74</v>
      </c>
    </row>
    <row r="15" spans="1:6" x14ac:dyDescent="0.25">
      <c r="A15" t="s">
        <v>111</v>
      </c>
      <c r="B15" t="s">
        <v>36</v>
      </c>
      <c r="C15" s="1">
        <v>46054</v>
      </c>
      <c r="D15" t="s">
        <v>76</v>
      </c>
      <c r="E15">
        <v>6800</v>
      </c>
      <c r="F15" t="s">
        <v>81</v>
      </c>
    </row>
    <row r="16" spans="1:6" x14ac:dyDescent="0.25">
      <c r="A16" t="s">
        <v>136</v>
      </c>
      <c r="B16" t="s">
        <v>60</v>
      </c>
      <c r="C16" s="1">
        <v>46054</v>
      </c>
      <c r="D16" t="s">
        <v>69</v>
      </c>
      <c r="E16">
        <v>6800</v>
      </c>
      <c r="F16" t="s">
        <v>74</v>
      </c>
    </row>
    <row r="17" spans="1:6" x14ac:dyDescent="0.25">
      <c r="A17" t="s">
        <v>140</v>
      </c>
      <c r="B17" t="s">
        <v>64</v>
      </c>
      <c r="C17" s="1">
        <v>46054</v>
      </c>
      <c r="D17" t="s">
        <v>69</v>
      </c>
      <c r="E17">
        <v>6800</v>
      </c>
      <c r="F17" t="s">
        <v>74</v>
      </c>
    </row>
    <row r="18" spans="1:6" x14ac:dyDescent="0.25">
      <c r="A18" t="s">
        <v>117</v>
      </c>
      <c r="B18" t="s">
        <v>41</v>
      </c>
      <c r="C18" s="1">
        <v>46042</v>
      </c>
      <c r="D18" t="s">
        <v>76</v>
      </c>
      <c r="E18">
        <v>2250</v>
      </c>
      <c r="F18" t="s">
        <v>118</v>
      </c>
    </row>
    <row r="19" spans="1:6" x14ac:dyDescent="0.25">
      <c r="A19" t="s">
        <v>71</v>
      </c>
      <c r="B19" t="s">
        <v>10</v>
      </c>
      <c r="C19" s="1">
        <v>46023</v>
      </c>
      <c r="D19" t="s">
        <v>69</v>
      </c>
      <c r="E19">
        <v>4500</v>
      </c>
      <c r="F19" t="s">
        <v>72</v>
      </c>
    </row>
    <row r="20" spans="1:6" x14ac:dyDescent="0.25">
      <c r="A20" t="s">
        <v>78</v>
      </c>
      <c r="B20" t="s">
        <v>10</v>
      </c>
      <c r="C20" s="1">
        <v>46023</v>
      </c>
      <c r="D20" t="s">
        <v>76</v>
      </c>
      <c r="E20">
        <v>4500</v>
      </c>
      <c r="F20" t="s">
        <v>79</v>
      </c>
    </row>
    <row r="21" spans="1:6" x14ac:dyDescent="0.25">
      <c r="A21" t="s">
        <v>83</v>
      </c>
      <c r="B21" t="s">
        <v>16</v>
      </c>
      <c r="C21" s="1">
        <v>46023</v>
      </c>
      <c r="D21" t="s">
        <v>69</v>
      </c>
      <c r="E21">
        <v>6000</v>
      </c>
      <c r="F21" t="s">
        <v>72</v>
      </c>
    </row>
    <row r="22" spans="1:6" x14ac:dyDescent="0.25">
      <c r="A22" t="s">
        <v>86</v>
      </c>
      <c r="B22" t="s">
        <v>16</v>
      </c>
      <c r="C22" s="1">
        <v>46023</v>
      </c>
      <c r="D22" t="s">
        <v>76</v>
      </c>
      <c r="E22">
        <v>6000</v>
      </c>
      <c r="F22" t="s">
        <v>79</v>
      </c>
    </row>
    <row r="23" spans="1:6" x14ac:dyDescent="0.25">
      <c r="A23" t="s">
        <v>89</v>
      </c>
      <c r="B23" t="s">
        <v>21</v>
      </c>
      <c r="C23" s="1">
        <v>46023</v>
      </c>
      <c r="D23" t="s">
        <v>69</v>
      </c>
      <c r="E23">
        <v>5200</v>
      </c>
      <c r="F23" t="s">
        <v>72</v>
      </c>
    </row>
    <row r="24" spans="1:6" x14ac:dyDescent="0.25">
      <c r="A24" t="s">
        <v>92</v>
      </c>
      <c r="B24" t="s">
        <v>21</v>
      </c>
      <c r="C24" s="1">
        <v>46023</v>
      </c>
      <c r="D24" t="s">
        <v>76</v>
      </c>
      <c r="E24">
        <v>5200</v>
      </c>
      <c r="F24" t="s">
        <v>79</v>
      </c>
    </row>
    <row r="25" spans="1:6" x14ac:dyDescent="0.25">
      <c r="A25" t="s">
        <v>95</v>
      </c>
      <c r="B25" t="s">
        <v>26</v>
      </c>
      <c r="C25" s="1">
        <v>46023</v>
      </c>
      <c r="D25" t="s">
        <v>69</v>
      </c>
      <c r="E25">
        <v>4500</v>
      </c>
      <c r="F25" t="s">
        <v>72</v>
      </c>
    </row>
    <row r="26" spans="1:6" x14ac:dyDescent="0.25">
      <c r="A26" t="s">
        <v>98</v>
      </c>
      <c r="B26" t="s">
        <v>26</v>
      </c>
      <c r="C26" s="1">
        <v>46023</v>
      </c>
      <c r="D26" t="s">
        <v>76</v>
      </c>
      <c r="E26">
        <v>4500</v>
      </c>
      <c r="F26" t="s">
        <v>79</v>
      </c>
    </row>
    <row r="27" spans="1:6" x14ac:dyDescent="0.25">
      <c r="A27" t="s">
        <v>101</v>
      </c>
      <c r="B27" t="s">
        <v>31</v>
      </c>
      <c r="C27" s="1">
        <v>46023</v>
      </c>
      <c r="D27" t="s">
        <v>69</v>
      </c>
      <c r="E27">
        <v>4500</v>
      </c>
      <c r="F27" t="s">
        <v>72</v>
      </c>
    </row>
    <row r="28" spans="1:6" x14ac:dyDescent="0.25">
      <c r="A28" t="s">
        <v>104</v>
      </c>
      <c r="B28" t="s">
        <v>31</v>
      </c>
      <c r="C28" s="1">
        <v>46023</v>
      </c>
      <c r="D28" t="s">
        <v>76</v>
      </c>
      <c r="E28">
        <v>4500</v>
      </c>
      <c r="F28" t="s">
        <v>79</v>
      </c>
    </row>
    <row r="29" spans="1:6" x14ac:dyDescent="0.25">
      <c r="A29" t="s">
        <v>107</v>
      </c>
      <c r="B29" t="s">
        <v>36</v>
      </c>
      <c r="C29" s="1">
        <v>46023</v>
      </c>
      <c r="D29" t="s">
        <v>69</v>
      </c>
      <c r="E29">
        <v>6800</v>
      </c>
      <c r="F29" t="s">
        <v>72</v>
      </c>
    </row>
    <row r="30" spans="1:6" x14ac:dyDescent="0.25">
      <c r="A30" t="s">
        <v>110</v>
      </c>
      <c r="B30" t="s">
        <v>36</v>
      </c>
      <c r="C30" s="1">
        <v>46023</v>
      </c>
      <c r="D30" t="s">
        <v>76</v>
      </c>
      <c r="E30">
        <v>6800</v>
      </c>
      <c r="F30" t="s">
        <v>79</v>
      </c>
    </row>
    <row r="31" spans="1:6" x14ac:dyDescent="0.25">
      <c r="A31" t="s">
        <v>113</v>
      </c>
      <c r="B31" t="s">
        <v>41</v>
      </c>
      <c r="C31" s="1">
        <v>46023</v>
      </c>
      <c r="D31" t="s">
        <v>69</v>
      </c>
      <c r="E31">
        <v>4500</v>
      </c>
      <c r="F31" t="s">
        <v>72</v>
      </c>
    </row>
    <row r="32" spans="1:6" x14ac:dyDescent="0.25">
      <c r="A32" t="s">
        <v>126</v>
      </c>
      <c r="B32" t="s">
        <v>51</v>
      </c>
      <c r="C32" s="1">
        <v>46023</v>
      </c>
      <c r="D32" t="s">
        <v>69</v>
      </c>
      <c r="E32">
        <v>4500</v>
      </c>
      <c r="F32" t="s">
        <v>74</v>
      </c>
    </row>
    <row r="33" spans="1:6" x14ac:dyDescent="0.25">
      <c r="A33" t="s">
        <v>131</v>
      </c>
      <c r="B33" t="s">
        <v>56</v>
      </c>
      <c r="C33" s="1">
        <v>46023</v>
      </c>
      <c r="D33" t="s">
        <v>69</v>
      </c>
      <c r="E33">
        <v>5200</v>
      </c>
      <c r="F33" t="s">
        <v>74</v>
      </c>
    </row>
    <row r="34" spans="1:6" x14ac:dyDescent="0.25">
      <c r="A34" t="s">
        <v>135</v>
      </c>
      <c r="B34" t="s">
        <v>60</v>
      </c>
      <c r="C34" s="1">
        <v>46023</v>
      </c>
      <c r="D34" t="s">
        <v>69</v>
      </c>
      <c r="E34">
        <v>6800</v>
      </c>
      <c r="F34" t="s">
        <v>72</v>
      </c>
    </row>
    <row r="35" spans="1:6" x14ac:dyDescent="0.25">
      <c r="A35" t="s">
        <v>139</v>
      </c>
      <c r="B35" t="s">
        <v>64</v>
      </c>
      <c r="C35" s="1">
        <v>46023</v>
      </c>
      <c r="D35" t="s">
        <v>69</v>
      </c>
      <c r="E35">
        <v>6800</v>
      </c>
      <c r="F35" t="s">
        <v>72</v>
      </c>
    </row>
    <row r="36" spans="1:6" x14ac:dyDescent="0.25">
      <c r="A36" t="s">
        <v>128</v>
      </c>
      <c r="B36" t="s">
        <v>51</v>
      </c>
      <c r="C36" s="1">
        <v>46011</v>
      </c>
      <c r="D36" t="s">
        <v>76</v>
      </c>
      <c r="E36">
        <v>2250</v>
      </c>
      <c r="F36" t="s">
        <v>118</v>
      </c>
    </row>
    <row r="37" spans="1:6" x14ac:dyDescent="0.25">
      <c r="A37" t="s">
        <v>137</v>
      </c>
      <c r="B37" t="s">
        <v>60</v>
      </c>
      <c r="C37" s="1">
        <v>46006</v>
      </c>
      <c r="D37" t="s">
        <v>76</v>
      </c>
      <c r="E37">
        <v>1700</v>
      </c>
      <c r="F37" t="s">
        <v>133</v>
      </c>
    </row>
    <row r="38" spans="1:6" x14ac:dyDescent="0.25">
      <c r="A38" t="s">
        <v>141</v>
      </c>
      <c r="B38" t="s">
        <v>64</v>
      </c>
      <c r="C38" s="1">
        <v>46006</v>
      </c>
      <c r="D38" t="s">
        <v>76</v>
      </c>
      <c r="E38">
        <v>1700</v>
      </c>
      <c r="F38" t="s">
        <v>133</v>
      </c>
    </row>
    <row r="39" spans="1:6" x14ac:dyDescent="0.25">
      <c r="A39" t="s">
        <v>115</v>
      </c>
      <c r="B39" t="s">
        <v>41</v>
      </c>
      <c r="C39" s="1">
        <v>46001</v>
      </c>
      <c r="D39" t="s">
        <v>76</v>
      </c>
      <c r="E39">
        <v>4500</v>
      </c>
      <c r="F39" t="s">
        <v>116</v>
      </c>
    </row>
    <row r="40" spans="1:6" x14ac:dyDescent="0.25">
      <c r="A40" t="s">
        <v>68</v>
      </c>
      <c r="B40" t="s">
        <v>10</v>
      </c>
      <c r="C40" s="1">
        <v>45992</v>
      </c>
      <c r="D40" t="s">
        <v>69</v>
      </c>
      <c r="E40">
        <v>4500</v>
      </c>
      <c r="F40" t="s">
        <v>70</v>
      </c>
    </row>
    <row r="41" spans="1:6" x14ac:dyDescent="0.25">
      <c r="A41" t="s">
        <v>75</v>
      </c>
      <c r="B41" t="s">
        <v>10</v>
      </c>
      <c r="C41" s="1">
        <v>45992</v>
      </c>
      <c r="D41" t="s">
        <v>76</v>
      </c>
      <c r="E41">
        <v>4500</v>
      </c>
      <c r="F41" t="s">
        <v>77</v>
      </c>
    </row>
    <row r="42" spans="1:6" x14ac:dyDescent="0.25">
      <c r="A42" t="s">
        <v>82</v>
      </c>
      <c r="B42" t="s">
        <v>16</v>
      </c>
      <c r="C42" s="1">
        <v>45992</v>
      </c>
      <c r="D42" t="s">
        <v>69</v>
      </c>
      <c r="E42">
        <v>6000</v>
      </c>
      <c r="F42" t="s">
        <v>70</v>
      </c>
    </row>
    <row r="43" spans="1:6" x14ac:dyDescent="0.25">
      <c r="A43" t="s">
        <v>85</v>
      </c>
      <c r="B43" t="s">
        <v>16</v>
      </c>
      <c r="C43" s="1">
        <v>45992</v>
      </c>
      <c r="D43" t="s">
        <v>76</v>
      </c>
      <c r="E43">
        <v>6000</v>
      </c>
      <c r="F43" t="s">
        <v>77</v>
      </c>
    </row>
    <row r="44" spans="1:6" x14ac:dyDescent="0.25">
      <c r="A44" t="s">
        <v>88</v>
      </c>
      <c r="B44" t="s">
        <v>21</v>
      </c>
      <c r="C44" s="1">
        <v>45992</v>
      </c>
      <c r="D44" t="s">
        <v>69</v>
      </c>
      <c r="E44">
        <v>5200</v>
      </c>
      <c r="F44" t="s">
        <v>70</v>
      </c>
    </row>
    <row r="45" spans="1:6" x14ac:dyDescent="0.25">
      <c r="A45" t="s">
        <v>91</v>
      </c>
      <c r="B45" t="s">
        <v>21</v>
      </c>
      <c r="C45" s="1">
        <v>45992</v>
      </c>
      <c r="D45" t="s">
        <v>76</v>
      </c>
      <c r="E45">
        <v>5200</v>
      </c>
      <c r="F45" t="s">
        <v>77</v>
      </c>
    </row>
    <row r="46" spans="1:6" x14ac:dyDescent="0.25">
      <c r="A46" t="s">
        <v>94</v>
      </c>
      <c r="B46" t="s">
        <v>26</v>
      </c>
      <c r="C46" s="1">
        <v>45992</v>
      </c>
      <c r="D46" t="s">
        <v>69</v>
      </c>
      <c r="E46">
        <v>4500</v>
      </c>
      <c r="F46" t="s">
        <v>70</v>
      </c>
    </row>
    <row r="47" spans="1:6" x14ac:dyDescent="0.25">
      <c r="A47" t="s">
        <v>97</v>
      </c>
      <c r="B47" t="s">
        <v>26</v>
      </c>
      <c r="C47" s="1">
        <v>45992</v>
      </c>
      <c r="D47" t="s">
        <v>76</v>
      </c>
      <c r="E47">
        <v>4500</v>
      </c>
      <c r="F47" t="s">
        <v>77</v>
      </c>
    </row>
    <row r="48" spans="1:6" x14ac:dyDescent="0.25">
      <c r="A48" t="s">
        <v>100</v>
      </c>
      <c r="B48" t="s">
        <v>31</v>
      </c>
      <c r="C48" s="1">
        <v>45992</v>
      </c>
      <c r="D48" t="s">
        <v>69</v>
      </c>
      <c r="E48">
        <v>4500</v>
      </c>
      <c r="F48" t="s">
        <v>70</v>
      </c>
    </row>
    <row r="49" spans="1:6" x14ac:dyDescent="0.25">
      <c r="A49" t="s">
        <v>103</v>
      </c>
      <c r="B49" t="s">
        <v>31</v>
      </c>
      <c r="C49" s="1">
        <v>45992</v>
      </c>
      <c r="D49" t="s">
        <v>76</v>
      </c>
      <c r="E49">
        <v>4500</v>
      </c>
      <c r="F49" t="s">
        <v>77</v>
      </c>
    </row>
    <row r="50" spans="1:6" x14ac:dyDescent="0.25">
      <c r="A50" t="s">
        <v>106</v>
      </c>
      <c r="B50" t="s">
        <v>36</v>
      </c>
      <c r="C50" s="1">
        <v>45992</v>
      </c>
      <c r="D50" t="s">
        <v>69</v>
      </c>
      <c r="E50">
        <v>6800</v>
      </c>
      <c r="F50" t="s">
        <v>70</v>
      </c>
    </row>
    <row r="51" spans="1:6" x14ac:dyDescent="0.25">
      <c r="A51" t="s">
        <v>109</v>
      </c>
      <c r="B51" t="s">
        <v>36</v>
      </c>
      <c r="C51" s="1">
        <v>45992</v>
      </c>
      <c r="D51" t="s">
        <v>76</v>
      </c>
      <c r="E51">
        <v>6800</v>
      </c>
      <c r="F51" t="s">
        <v>77</v>
      </c>
    </row>
    <row r="52" spans="1:6" x14ac:dyDescent="0.25">
      <c r="A52" t="s">
        <v>112</v>
      </c>
      <c r="B52" t="s">
        <v>41</v>
      </c>
      <c r="C52" s="1">
        <v>45992</v>
      </c>
      <c r="D52" t="s">
        <v>69</v>
      </c>
      <c r="E52">
        <v>4500</v>
      </c>
      <c r="F52" t="s">
        <v>70</v>
      </c>
    </row>
    <row r="53" spans="1:6" x14ac:dyDescent="0.25">
      <c r="A53" t="s">
        <v>121</v>
      </c>
      <c r="B53" t="s">
        <v>46</v>
      </c>
      <c r="C53" s="1">
        <v>45992</v>
      </c>
      <c r="D53" t="s">
        <v>69</v>
      </c>
      <c r="E53">
        <v>5200</v>
      </c>
      <c r="F53" t="s">
        <v>74</v>
      </c>
    </row>
    <row r="54" spans="1:6" x14ac:dyDescent="0.25">
      <c r="A54" t="s">
        <v>125</v>
      </c>
      <c r="B54" t="s">
        <v>51</v>
      </c>
      <c r="C54" s="1">
        <v>45992</v>
      </c>
      <c r="D54" t="s">
        <v>69</v>
      </c>
      <c r="E54">
        <v>4500</v>
      </c>
      <c r="F54" t="s">
        <v>72</v>
      </c>
    </row>
    <row r="55" spans="1:6" x14ac:dyDescent="0.25">
      <c r="A55" t="s">
        <v>130</v>
      </c>
      <c r="B55" t="s">
        <v>56</v>
      </c>
      <c r="C55" s="1">
        <v>45992</v>
      </c>
      <c r="D55" t="s">
        <v>69</v>
      </c>
      <c r="E55">
        <v>5200</v>
      </c>
      <c r="F55" t="s">
        <v>72</v>
      </c>
    </row>
    <row r="56" spans="1:6" x14ac:dyDescent="0.25">
      <c r="A56" t="s">
        <v>134</v>
      </c>
      <c r="B56" t="s">
        <v>60</v>
      </c>
      <c r="C56" s="1">
        <v>45992</v>
      </c>
      <c r="D56" t="s">
        <v>69</v>
      </c>
      <c r="E56">
        <v>6800</v>
      </c>
      <c r="F56" t="s">
        <v>70</v>
      </c>
    </row>
    <row r="57" spans="1:6" x14ac:dyDescent="0.25">
      <c r="A57" t="s">
        <v>138</v>
      </c>
      <c r="B57" t="s">
        <v>64</v>
      </c>
      <c r="C57" s="1">
        <v>45992</v>
      </c>
      <c r="D57" t="s">
        <v>69</v>
      </c>
      <c r="E57">
        <v>6800</v>
      </c>
      <c r="F57" t="s">
        <v>70</v>
      </c>
    </row>
    <row r="58" spans="1:6" x14ac:dyDescent="0.25">
      <c r="A58" t="s">
        <v>123</v>
      </c>
      <c r="B58" t="s">
        <v>46</v>
      </c>
      <c r="C58" s="1">
        <v>45981</v>
      </c>
      <c r="D58" t="s">
        <v>76</v>
      </c>
      <c r="E58">
        <v>2600</v>
      </c>
      <c r="F58" t="s">
        <v>118</v>
      </c>
    </row>
    <row r="59" spans="1:6" x14ac:dyDescent="0.25">
      <c r="A59" t="s">
        <v>127</v>
      </c>
      <c r="B59" t="s">
        <v>51</v>
      </c>
      <c r="C59" s="1">
        <v>45971</v>
      </c>
      <c r="D59" t="s">
        <v>76</v>
      </c>
      <c r="E59">
        <v>4500</v>
      </c>
      <c r="F59" t="s">
        <v>116</v>
      </c>
    </row>
    <row r="60" spans="1:6" x14ac:dyDescent="0.25">
      <c r="A60" t="s">
        <v>120</v>
      </c>
      <c r="B60" t="s">
        <v>46</v>
      </c>
      <c r="C60" s="1">
        <v>45962</v>
      </c>
      <c r="D60" t="s">
        <v>69</v>
      </c>
      <c r="E60">
        <v>5200</v>
      </c>
      <c r="F60" t="s">
        <v>72</v>
      </c>
    </row>
    <row r="61" spans="1:6" x14ac:dyDescent="0.25">
      <c r="A61" t="s">
        <v>124</v>
      </c>
      <c r="B61" t="s">
        <v>51</v>
      </c>
      <c r="C61" s="1">
        <v>45962</v>
      </c>
      <c r="D61" t="s">
        <v>69</v>
      </c>
      <c r="E61">
        <v>4500</v>
      </c>
      <c r="F61" t="s">
        <v>70</v>
      </c>
    </row>
    <row r="62" spans="1:6" x14ac:dyDescent="0.25">
      <c r="A62" t="s">
        <v>129</v>
      </c>
      <c r="B62" t="s">
        <v>56</v>
      </c>
      <c r="C62" s="1">
        <v>45962</v>
      </c>
      <c r="D62" t="s">
        <v>69</v>
      </c>
      <c r="E62">
        <v>5200</v>
      </c>
      <c r="F62" t="s">
        <v>70</v>
      </c>
    </row>
    <row r="63" spans="1:6" x14ac:dyDescent="0.25">
      <c r="A63" t="s">
        <v>122</v>
      </c>
      <c r="B63" t="s">
        <v>46</v>
      </c>
      <c r="C63" s="1">
        <v>45940</v>
      </c>
      <c r="D63" t="s">
        <v>76</v>
      </c>
      <c r="E63">
        <v>5200</v>
      </c>
      <c r="F63" t="s">
        <v>116</v>
      </c>
    </row>
    <row r="64" spans="1:6" x14ac:dyDescent="0.25">
      <c r="A64" t="s">
        <v>119</v>
      </c>
      <c r="B64" t="s">
        <v>46</v>
      </c>
      <c r="C64" s="1">
        <v>45931</v>
      </c>
      <c r="D64" t="s">
        <v>69</v>
      </c>
      <c r="E64">
        <v>5200</v>
      </c>
      <c r="F64" t="s">
        <v>70</v>
      </c>
    </row>
    <row r="65" spans="1:6" x14ac:dyDescent="0.25">
      <c r="A65" t="s">
        <v>132</v>
      </c>
      <c r="B65" t="s">
        <v>56</v>
      </c>
      <c r="C65" s="1">
        <v>45823</v>
      </c>
      <c r="D65" t="s">
        <v>76</v>
      </c>
      <c r="E65">
        <v>1300</v>
      </c>
      <c r="F65" t="s">
        <v>133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1A786-5B87-477B-8EE6-7FD43B25928E}">
  <dimension ref="A3:R9"/>
  <sheetViews>
    <sheetView workbookViewId="0">
      <selection activeCell="E27" sqref="E27"/>
    </sheetView>
  </sheetViews>
  <sheetFormatPr defaultRowHeight="15" x14ac:dyDescent="0.25"/>
  <cols>
    <col min="1" max="1" width="13.140625" bestFit="1" customWidth="1"/>
    <col min="2" max="2" width="14.5703125" bestFit="1" customWidth="1"/>
    <col min="4" max="4" width="13.140625" bestFit="1" customWidth="1"/>
    <col min="5" max="5" width="21.140625" bestFit="1" customWidth="1"/>
    <col min="6" max="6" width="14.5703125" bestFit="1" customWidth="1"/>
    <col min="8" max="8" width="14.5703125" bestFit="1" customWidth="1"/>
    <col min="9" max="9" width="16.28515625" bestFit="1" customWidth="1"/>
    <col min="10" max="10" width="10.7109375" bestFit="1" customWidth="1"/>
    <col min="11" max="12" width="11.7109375" bestFit="1" customWidth="1"/>
    <col min="13" max="13" width="10.7109375" bestFit="1" customWidth="1"/>
    <col min="14" max="14" width="11.7109375" bestFit="1" customWidth="1"/>
    <col min="15" max="16" width="13.140625" bestFit="1" customWidth="1"/>
    <col min="17" max="17" width="19.140625" bestFit="1" customWidth="1"/>
    <col min="18" max="18" width="21.140625" bestFit="1" customWidth="1"/>
  </cols>
  <sheetData>
    <row r="3" spans="1:18" x14ac:dyDescent="0.25">
      <c r="A3" s="8" t="s">
        <v>170</v>
      </c>
      <c r="B3" t="s">
        <v>173</v>
      </c>
      <c r="D3" s="8" t="s">
        <v>170</v>
      </c>
      <c r="E3" t="s">
        <v>181</v>
      </c>
      <c r="F3" t="s">
        <v>173</v>
      </c>
      <c r="H3" s="8" t="s">
        <v>173</v>
      </c>
      <c r="I3" s="8" t="s">
        <v>182</v>
      </c>
      <c r="P3" s="8" t="s">
        <v>170</v>
      </c>
      <c r="Q3" t="s">
        <v>172</v>
      </c>
      <c r="R3" t="s">
        <v>188</v>
      </c>
    </row>
    <row r="4" spans="1:18" x14ac:dyDescent="0.25">
      <c r="A4" s="10" t="s">
        <v>164</v>
      </c>
      <c r="B4" s="11">
        <v>4500</v>
      </c>
      <c r="D4" s="10" t="s">
        <v>162</v>
      </c>
      <c r="E4" s="20">
        <v>9</v>
      </c>
      <c r="F4" s="11">
        <v>25800</v>
      </c>
      <c r="H4" s="8" t="s">
        <v>170</v>
      </c>
      <c r="I4" t="s">
        <v>164</v>
      </c>
      <c r="J4" t="s">
        <v>186</v>
      </c>
      <c r="K4" t="s">
        <v>163</v>
      </c>
      <c r="L4" t="s">
        <v>185</v>
      </c>
      <c r="M4" t="s">
        <v>187</v>
      </c>
      <c r="N4" t="s">
        <v>171</v>
      </c>
      <c r="P4" s="9">
        <v>46075</v>
      </c>
      <c r="Q4" s="11">
        <v>77500</v>
      </c>
      <c r="R4" s="6">
        <v>1</v>
      </c>
    </row>
    <row r="5" spans="1:18" x14ac:dyDescent="0.25">
      <c r="A5" s="10" t="s">
        <v>186</v>
      </c>
      <c r="B5" s="11">
        <v>6750</v>
      </c>
      <c r="D5" s="10" t="s">
        <v>177</v>
      </c>
      <c r="E5" s="20">
        <v>3</v>
      </c>
      <c r="F5" s="11">
        <v>51700</v>
      </c>
      <c r="H5" s="10" t="s">
        <v>161</v>
      </c>
      <c r="I5" s="11">
        <v>4500</v>
      </c>
      <c r="J5" s="11">
        <v>6750</v>
      </c>
      <c r="K5" s="11"/>
      <c r="L5" s="11">
        <v>6750</v>
      </c>
      <c r="M5" s="11">
        <v>7800</v>
      </c>
      <c r="N5" s="11">
        <v>25800</v>
      </c>
      <c r="P5" s="9" t="s">
        <v>190</v>
      </c>
      <c r="Q5" s="11"/>
      <c r="R5" s="6"/>
    </row>
    <row r="6" spans="1:18" x14ac:dyDescent="0.25">
      <c r="A6" s="10" t="s">
        <v>163</v>
      </c>
      <c r="B6" s="11">
        <v>37400</v>
      </c>
      <c r="D6" s="10" t="s">
        <v>171</v>
      </c>
      <c r="E6" s="20">
        <v>12</v>
      </c>
      <c r="F6" s="11">
        <v>77500</v>
      </c>
      <c r="H6" s="10" t="s">
        <v>176</v>
      </c>
      <c r="I6" s="11"/>
      <c r="J6" s="11"/>
      <c r="K6" s="11">
        <v>37400</v>
      </c>
      <c r="L6" s="11">
        <v>14300</v>
      </c>
      <c r="M6" s="11"/>
      <c r="N6" s="11">
        <v>51700</v>
      </c>
      <c r="P6" s="9" t="s">
        <v>171</v>
      </c>
      <c r="Q6" s="11">
        <v>77500</v>
      </c>
      <c r="R6" s="6">
        <v>1</v>
      </c>
    </row>
    <row r="7" spans="1:18" x14ac:dyDescent="0.25">
      <c r="A7" s="10" t="s">
        <v>185</v>
      </c>
      <c r="B7" s="11">
        <v>21050</v>
      </c>
      <c r="H7" s="10" t="s">
        <v>171</v>
      </c>
      <c r="I7" s="11">
        <v>4500</v>
      </c>
      <c r="J7" s="11">
        <v>6750</v>
      </c>
      <c r="K7" s="11">
        <v>37400</v>
      </c>
      <c r="L7" s="11">
        <v>21050</v>
      </c>
      <c r="M7" s="11">
        <v>7800</v>
      </c>
      <c r="N7" s="11">
        <v>77500</v>
      </c>
    </row>
    <row r="8" spans="1:18" x14ac:dyDescent="0.25">
      <c r="A8" s="10" t="s">
        <v>187</v>
      </c>
      <c r="B8" s="11">
        <v>7800</v>
      </c>
    </row>
    <row r="9" spans="1:18" x14ac:dyDescent="0.25">
      <c r="A9" s="10" t="s">
        <v>171</v>
      </c>
      <c r="B9" s="11">
        <v>77500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331C-DA0F-4C1B-BACF-508376C0366E}">
  <dimension ref="A1:H13"/>
  <sheetViews>
    <sheetView workbookViewId="0">
      <selection activeCell="C19" sqref="C19"/>
    </sheetView>
  </sheetViews>
  <sheetFormatPr defaultRowHeight="15" x14ac:dyDescent="0.25"/>
  <cols>
    <col min="1" max="1" width="10.7109375" bestFit="1" customWidth="1"/>
    <col min="2" max="2" width="15.42578125" bestFit="1" customWidth="1"/>
    <col min="3" max="4" width="17.140625" bestFit="1" customWidth="1"/>
    <col min="5" max="5" width="10.140625" bestFit="1" customWidth="1"/>
    <col min="6" max="6" width="6.85546875" bestFit="1" customWidth="1"/>
    <col min="7" max="7" width="15.85546875" bestFit="1" customWidth="1"/>
    <col min="8" max="8" width="9.5703125" bestFit="1" customWidth="1"/>
    <col min="9" max="9" width="13.140625" bestFit="1" customWidth="1"/>
    <col min="10" max="10" width="14.5703125" bestFit="1" customWidth="1"/>
    <col min="11" max="11" width="15.140625" bestFit="1" customWidth="1"/>
    <col min="12" max="12" width="16.5703125" bestFit="1" customWidth="1"/>
  </cols>
  <sheetData>
    <row r="1" spans="1:8" x14ac:dyDescent="0.25">
      <c r="A1" t="s">
        <v>154</v>
      </c>
      <c r="B1" t="s">
        <v>155</v>
      </c>
      <c r="C1" t="s">
        <v>156</v>
      </c>
      <c r="D1" t="s">
        <v>157</v>
      </c>
      <c r="E1" t="s">
        <v>158</v>
      </c>
      <c r="F1" t="s">
        <v>180</v>
      </c>
      <c r="G1" t="s">
        <v>159</v>
      </c>
      <c r="H1" t="s">
        <v>160</v>
      </c>
    </row>
    <row r="2" spans="1:8" x14ac:dyDescent="0.25">
      <c r="A2" t="s">
        <v>60</v>
      </c>
      <c r="B2" t="s">
        <v>61</v>
      </c>
      <c r="C2" t="s">
        <v>176</v>
      </c>
      <c r="D2" t="s">
        <v>177</v>
      </c>
      <c r="E2">
        <v>18700</v>
      </c>
      <c r="F2" t="s">
        <v>174</v>
      </c>
      <c r="G2">
        <v>21</v>
      </c>
      <c r="H2" t="s">
        <v>163</v>
      </c>
    </row>
    <row r="3" spans="1:8" x14ac:dyDescent="0.25">
      <c r="A3" t="s">
        <v>64</v>
      </c>
      <c r="B3" t="s">
        <v>65</v>
      </c>
      <c r="C3" t="s">
        <v>176</v>
      </c>
      <c r="D3" t="s">
        <v>177</v>
      </c>
      <c r="E3">
        <v>18700</v>
      </c>
      <c r="F3" t="s">
        <v>175</v>
      </c>
      <c r="G3">
        <v>21</v>
      </c>
      <c r="H3" t="s">
        <v>163</v>
      </c>
    </row>
    <row r="4" spans="1:8" x14ac:dyDescent="0.25">
      <c r="A4" t="s">
        <v>56</v>
      </c>
      <c r="B4" t="s">
        <v>57</v>
      </c>
      <c r="C4" t="s">
        <v>176</v>
      </c>
      <c r="D4" t="s">
        <v>177</v>
      </c>
      <c r="E4">
        <v>14300</v>
      </c>
      <c r="F4" t="s">
        <v>178</v>
      </c>
      <c r="G4">
        <v>52</v>
      </c>
      <c r="H4" t="s">
        <v>185</v>
      </c>
    </row>
    <row r="5" spans="1:8" x14ac:dyDescent="0.25">
      <c r="A5" t="s">
        <v>46</v>
      </c>
      <c r="B5" t="s">
        <v>47</v>
      </c>
      <c r="C5" t="s">
        <v>161</v>
      </c>
      <c r="D5" t="s">
        <v>162</v>
      </c>
      <c r="E5">
        <v>7800</v>
      </c>
      <c r="F5" t="s">
        <v>48</v>
      </c>
      <c r="G5">
        <v>83</v>
      </c>
      <c r="H5" t="s">
        <v>187</v>
      </c>
    </row>
    <row r="6" spans="1:8" x14ac:dyDescent="0.25">
      <c r="A6" t="s">
        <v>51</v>
      </c>
      <c r="B6" t="s">
        <v>52</v>
      </c>
      <c r="C6" t="s">
        <v>161</v>
      </c>
      <c r="D6" t="s">
        <v>162</v>
      </c>
      <c r="E6">
        <v>6750</v>
      </c>
      <c r="F6" t="s">
        <v>53</v>
      </c>
      <c r="G6">
        <v>52</v>
      </c>
      <c r="H6" t="s">
        <v>185</v>
      </c>
    </row>
    <row r="7" spans="1:8" x14ac:dyDescent="0.25">
      <c r="A7" t="s">
        <v>41</v>
      </c>
      <c r="B7" t="s">
        <v>42</v>
      </c>
      <c r="C7" t="s">
        <v>161</v>
      </c>
      <c r="D7" t="s">
        <v>162</v>
      </c>
      <c r="E7">
        <v>6750</v>
      </c>
      <c r="F7" t="s">
        <v>43</v>
      </c>
      <c r="G7">
        <v>1</v>
      </c>
      <c r="H7" t="s">
        <v>186</v>
      </c>
    </row>
    <row r="8" spans="1:8" x14ac:dyDescent="0.25">
      <c r="A8" t="s">
        <v>10</v>
      </c>
      <c r="B8" t="s">
        <v>11</v>
      </c>
      <c r="C8" t="s">
        <v>161</v>
      </c>
      <c r="D8" t="s">
        <v>162</v>
      </c>
      <c r="E8">
        <v>4500</v>
      </c>
      <c r="F8" t="s">
        <v>12</v>
      </c>
      <c r="G8">
        <v>0</v>
      </c>
      <c r="H8" t="s">
        <v>164</v>
      </c>
    </row>
    <row r="9" spans="1:8" x14ac:dyDescent="0.25">
      <c r="A9" t="s">
        <v>16</v>
      </c>
      <c r="B9" t="s">
        <v>17</v>
      </c>
      <c r="C9" t="s">
        <v>161</v>
      </c>
      <c r="D9" t="s">
        <v>162</v>
      </c>
      <c r="E9">
        <v>0</v>
      </c>
      <c r="F9" t="s">
        <v>18</v>
      </c>
      <c r="H9" t="s">
        <v>164</v>
      </c>
    </row>
    <row r="10" spans="1:8" x14ac:dyDescent="0.25">
      <c r="A10" t="s">
        <v>21</v>
      </c>
      <c r="B10" t="s">
        <v>22</v>
      </c>
      <c r="C10" t="s">
        <v>161</v>
      </c>
      <c r="D10" t="s">
        <v>162</v>
      </c>
      <c r="E10">
        <v>0</v>
      </c>
      <c r="F10" t="s">
        <v>23</v>
      </c>
      <c r="H10" t="s">
        <v>164</v>
      </c>
    </row>
    <row r="11" spans="1:8" x14ac:dyDescent="0.25">
      <c r="A11" t="s">
        <v>26</v>
      </c>
      <c r="B11" t="s">
        <v>27</v>
      </c>
      <c r="C11" t="s">
        <v>161</v>
      </c>
      <c r="D11" t="s">
        <v>162</v>
      </c>
      <c r="E11">
        <v>0</v>
      </c>
      <c r="F11" t="s">
        <v>28</v>
      </c>
      <c r="H11" t="s">
        <v>164</v>
      </c>
    </row>
    <row r="12" spans="1:8" x14ac:dyDescent="0.25">
      <c r="A12" t="s">
        <v>31</v>
      </c>
      <c r="B12" t="s">
        <v>32</v>
      </c>
      <c r="C12" t="s">
        <v>161</v>
      </c>
      <c r="D12" t="s">
        <v>162</v>
      </c>
      <c r="E12">
        <v>0</v>
      </c>
      <c r="F12" t="s">
        <v>33</v>
      </c>
      <c r="H12" t="s">
        <v>164</v>
      </c>
    </row>
    <row r="13" spans="1:8" x14ac:dyDescent="0.25">
      <c r="A13" t="s">
        <v>36</v>
      </c>
      <c r="B13" t="s">
        <v>37</v>
      </c>
      <c r="C13" t="s">
        <v>161</v>
      </c>
      <c r="D13" t="s">
        <v>162</v>
      </c>
      <c r="E13">
        <v>0</v>
      </c>
      <c r="F13" t="s">
        <v>38</v>
      </c>
      <c r="H13" t="s">
        <v>164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FFF93-14F3-4A1B-9CE6-688FB75CDAEE}">
  <dimension ref="A1:E30"/>
  <sheetViews>
    <sheetView workbookViewId="0">
      <selection activeCell="D17" sqref="D17"/>
    </sheetView>
  </sheetViews>
  <sheetFormatPr defaultRowHeight="15" x14ac:dyDescent="0.25"/>
  <cols>
    <col min="1" max="1" width="13" bestFit="1" customWidth="1"/>
    <col min="2" max="2" width="14.5703125" bestFit="1" customWidth="1"/>
    <col min="3" max="3" width="15.140625" bestFit="1" customWidth="1"/>
    <col min="4" max="4" width="17" bestFit="1" customWidth="1"/>
    <col min="5" max="5" width="17.5703125" bestFit="1" customWidth="1"/>
  </cols>
  <sheetData>
    <row r="1" spans="1:5" x14ac:dyDescent="0.25">
      <c r="A1" t="s">
        <v>165</v>
      </c>
      <c r="B1" t="s">
        <v>166</v>
      </c>
      <c r="C1" t="s">
        <v>167</v>
      </c>
      <c r="D1" t="s">
        <v>168</v>
      </c>
      <c r="E1" t="s">
        <v>169</v>
      </c>
    </row>
    <row r="2" spans="1:5" x14ac:dyDescent="0.25">
      <c r="A2" s="7">
        <v>46075</v>
      </c>
      <c r="B2">
        <v>77500</v>
      </c>
      <c r="C2">
        <v>7</v>
      </c>
      <c r="D2" t="s">
        <v>163</v>
      </c>
      <c r="E2">
        <v>11071.43</v>
      </c>
    </row>
    <row r="3" spans="1:5" x14ac:dyDescent="0.25">
      <c r="A3" s="7"/>
      <c r="D3" t="s">
        <v>184</v>
      </c>
    </row>
    <row r="4" spans="1:5" x14ac:dyDescent="0.25">
      <c r="A4" s="7"/>
      <c r="D4" t="s">
        <v>184</v>
      </c>
    </row>
    <row r="5" spans="1:5" x14ac:dyDescent="0.25">
      <c r="A5" s="7"/>
      <c r="D5" t="s">
        <v>184</v>
      </c>
    </row>
    <row r="6" spans="1:5" x14ac:dyDescent="0.25">
      <c r="A6" s="7"/>
      <c r="D6" t="s">
        <v>184</v>
      </c>
    </row>
    <row r="7" spans="1:5" x14ac:dyDescent="0.25">
      <c r="A7" s="7"/>
      <c r="D7" t="s">
        <v>184</v>
      </c>
    </row>
    <row r="8" spans="1:5" x14ac:dyDescent="0.25">
      <c r="A8" s="7"/>
      <c r="D8" t="s">
        <v>184</v>
      </c>
    </row>
    <row r="9" spans="1:5" x14ac:dyDescent="0.25">
      <c r="A9" s="7"/>
      <c r="D9" t="s">
        <v>184</v>
      </c>
    </row>
    <row r="10" spans="1:5" x14ac:dyDescent="0.25">
      <c r="A10" s="7"/>
      <c r="D10" t="s">
        <v>184</v>
      </c>
    </row>
    <row r="11" spans="1:5" x14ac:dyDescent="0.25">
      <c r="A11" s="7"/>
      <c r="D11" t="s">
        <v>184</v>
      </c>
    </row>
    <row r="12" spans="1:5" x14ac:dyDescent="0.25">
      <c r="A12" s="7"/>
      <c r="D12" t="s">
        <v>184</v>
      </c>
    </row>
    <row r="13" spans="1:5" x14ac:dyDescent="0.25">
      <c r="A13" s="7"/>
      <c r="D13" t="s">
        <v>184</v>
      </c>
    </row>
    <row r="14" spans="1:5" x14ac:dyDescent="0.25">
      <c r="A14" s="7"/>
      <c r="D14" t="s">
        <v>184</v>
      </c>
    </row>
    <row r="15" spans="1:5" x14ac:dyDescent="0.25">
      <c r="A15" s="7"/>
      <c r="D15" t="s">
        <v>184</v>
      </c>
    </row>
    <row r="16" spans="1:5" x14ac:dyDescent="0.25">
      <c r="A16" s="7"/>
      <c r="D16" t="s">
        <v>184</v>
      </c>
    </row>
    <row r="17" spans="1:4" x14ac:dyDescent="0.25">
      <c r="A17" s="7"/>
      <c r="D17" t="s">
        <v>184</v>
      </c>
    </row>
    <row r="18" spans="1:4" x14ac:dyDescent="0.25">
      <c r="A18" s="7"/>
      <c r="D18" t="s">
        <v>184</v>
      </c>
    </row>
    <row r="19" spans="1:4" x14ac:dyDescent="0.25">
      <c r="A19" s="7"/>
      <c r="D19" t="s">
        <v>184</v>
      </c>
    </row>
    <row r="20" spans="1:4" x14ac:dyDescent="0.25">
      <c r="A20" s="7"/>
      <c r="D20" t="s">
        <v>184</v>
      </c>
    </row>
    <row r="21" spans="1:4" x14ac:dyDescent="0.25">
      <c r="A21" s="7"/>
      <c r="D21" t="s">
        <v>184</v>
      </c>
    </row>
    <row r="22" spans="1:4" x14ac:dyDescent="0.25">
      <c r="A22" s="7"/>
      <c r="D22" t="s">
        <v>184</v>
      </c>
    </row>
    <row r="23" spans="1:4" x14ac:dyDescent="0.25">
      <c r="A23" s="7"/>
      <c r="D23" t="s">
        <v>184</v>
      </c>
    </row>
    <row r="24" spans="1:4" x14ac:dyDescent="0.25">
      <c r="A24" s="7"/>
      <c r="D24" t="s">
        <v>184</v>
      </c>
    </row>
    <row r="25" spans="1:4" x14ac:dyDescent="0.25">
      <c r="A25" s="7"/>
    </row>
    <row r="26" spans="1:4" x14ac:dyDescent="0.25">
      <c r="A26" s="7"/>
      <c r="D26" t="s">
        <v>184</v>
      </c>
    </row>
    <row r="27" spans="1:4" x14ac:dyDescent="0.25">
      <c r="A27" s="7"/>
      <c r="D27" t="s">
        <v>184</v>
      </c>
    </row>
    <row r="28" spans="1:4" x14ac:dyDescent="0.25">
      <c r="A28" s="7"/>
      <c r="D28" t="s">
        <v>184</v>
      </c>
    </row>
    <row r="29" spans="1:4" x14ac:dyDescent="0.25">
      <c r="A29" s="7"/>
      <c r="D29" t="s">
        <v>184</v>
      </c>
    </row>
    <row r="30" spans="1:4" x14ac:dyDescent="0.25">
      <c r="A30" s="7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E71813-03A5-4D65-BDD1-E1FECFBF94A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Ops_Dashboard</vt:lpstr>
      <vt:lpstr>Tenants</vt:lpstr>
      <vt:lpstr>Ledger</vt:lpstr>
      <vt:lpstr>Pivots</vt:lpstr>
      <vt:lpstr>Snapshot_Data</vt:lpstr>
      <vt:lpstr>History_Snapshot</vt:lpstr>
      <vt:lpstr>Ops_Dashboard!Print_Area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Maluleke, Nicola, (Mr) (s231950675)</cp:lastModifiedBy>
  <dcterms:created xsi:type="dcterms:W3CDTF">2026-02-11T10:27:57Z</dcterms:created>
  <dcterms:modified xsi:type="dcterms:W3CDTF">2026-02-22T17:31:31Z</dcterms:modified>
</cp:coreProperties>
</file>