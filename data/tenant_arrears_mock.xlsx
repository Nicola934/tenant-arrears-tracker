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dev\python-projects\Projects\Tenant_Arrears_Tracker\data\"/>
    </mc:Choice>
  </mc:AlternateContent>
  <xr:revisionPtr revIDLastSave="0" documentId="13_ncr:1_{CDBF19B5-7F8D-4388-9558-EDC9CF0009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ps_Dashboard" sheetId="1" r:id="rId1"/>
    <sheet name="Tenants" sheetId="2" r:id="rId2"/>
    <sheet name="Ledger" sheetId="3" r:id="rId3"/>
    <sheet name="Pivots" sheetId="14" r:id="rId4"/>
    <sheet name="Snapshot_Data" sheetId="13" r:id="rId5"/>
    <sheet name="History_Snapshot" sheetId="15" r:id="rId6"/>
  </sheets>
  <definedNames>
    <definedName name="ExternalData_1" localSheetId="5" hidden="1">History_Snapshot!$A$1:$E$23</definedName>
    <definedName name="ExternalData_1" localSheetId="4" hidden="1">Snapshot_Data!$A$1:$H$13</definedName>
    <definedName name="_xlnm.Print_Area" localSheetId="0">Ops_Dashboard!$A$1:$V$34</definedName>
  </definedNames>
  <calcPr calcId="191029"/>
  <pivotCaches>
    <pivotCache cacheId="3375" r:id="rId7"/>
    <pivotCache cacheId="338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5" i="1"/>
  <c r="D5" i="1"/>
  <c r="D8" i="1"/>
  <c r="A8" i="1"/>
  <c r="J3" i="2"/>
  <c r="J4" i="2"/>
  <c r="J5" i="2"/>
  <c r="J6" i="2"/>
  <c r="J7" i="2"/>
  <c r="J8" i="2"/>
  <c r="J9" i="2"/>
  <c r="J10" i="2"/>
  <c r="J11" i="2"/>
  <c r="J12" i="2"/>
  <c r="J13" i="2"/>
  <c r="J2" i="2"/>
  <c r="C3" i="2"/>
  <c r="C4" i="2"/>
  <c r="C5" i="2"/>
  <c r="C6" i="2"/>
  <c r="C7" i="2"/>
  <c r="C8" i="2"/>
  <c r="C9" i="2"/>
  <c r="C10" i="2"/>
  <c r="C11" i="2"/>
  <c r="C12" i="2"/>
  <c r="C13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CDBEA2-813E-4BC6-AB78-A104A0C879C7}" keepAlive="1" name="Query - arrears_history" description="Connection to the 'arrears_history' query in the workbook." type="5" refreshedVersion="8" background="1" saveData="1">
    <dbPr connection="Provider=Microsoft.Mashup.OleDb.1;Data Source=$Workbook$;Location=arrears_history;Extended Properties=&quot;&quot;" command="SELECT * FROM [arrears_history]"/>
  </connection>
  <connection id="2" xr16:uid="{0EA691EE-9A61-4B64-8EF6-BA812C8BB90D}" keepAlive="1" name="Query - arrears_snapshot_latest" description="Connection to the 'arrears_snapshot_latest' query in the workbook." type="5" refreshedVersion="8" background="1" saveData="1">
    <dbPr connection="Provider=Microsoft.Mashup.OleDb.1;Data Source=$Workbook$;Location=arrears_snapshot_latest;Extended Properties=&quot;&quot;" command="SELECT * FROM [arrears_snapshot_latest]"/>
  </connection>
</connections>
</file>

<file path=xl/sharedStrings.xml><?xml version="1.0" encoding="utf-8"?>
<sst xmlns="http://schemas.openxmlformats.org/spreadsheetml/2006/main" count="1384" uniqueCount="428">
  <si>
    <t>Ops Dashboard — Arrears Overview</t>
  </si>
  <si>
    <t>As-of date</t>
  </si>
  <si>
    <t>Total arrears</t>
  </si>
  <si>
    <t>Tenants in arrears</t>
  </si>
  <si>
    <t>% in arrears</t>
  </si>
  <si>
    <t>Avg days overdue (arrears only)</t>
  </si>
  <si>
    <t>Top 10 tenants by arrears</t>
  </si>
  <si>
    <t>Unit</t>
  </si>
  <si>
    <t>phone</t>
  </si>
  <si>
    <t>status</t>
  </si>
  <si>
    <t>T001</t>
  </si>
  <si>
    <t>Sipho Dlamini</t>
  </si>
  <si>
    <t>A01</t>
  </si>
  <si>
    <t>tenant001@example.com</t>
  </si>
  <si>
    <t>+27 795822412</t>
  </si>
  <si>
    <t>ACTIVE</t>
  </si>
  <si>
    <t>T002</t>
  </si>
  <si>
    <t>Lerato Mokoena</t>
  </si>
  <si>
    <t>A02</t>
  </si>
  <si>
    <t>tenant002@example.com</t>
  </si>
  <si>
    <t>+27 713356886</t>
  </si>
  <si>
    <t>T003</t>
  </si>
  <si>
    <t>Thabo Nkosi</t>
  </si>
  <si>
    <t>A03</t>
  </si>
  <si>
    <t>tenant003@example.com</t>
  </si>
  <si>
    <t>+27 742868828</t>
  </si>
  <si>
    <t>T004</t>
  </si>
  <si>
    <t>Zanele Khumalo</t>
  </si>
  <si>
    <t>A04</t>
  </si>
  <si>
    <t>tenant004@example.com</t>
  </si>
  <si>
    <t>+27 728728463</t>
  </si>
  <si>
    <t>T005</t>
  </si>
  <si>
    <t>Kagiso Ndlovu</t>
  </si>
  <si>
    <t>A05</t>
  </si>
  <si>
    <t>tenant005@example.com</t>
  </si>
  <si>
    <t>+27 783197857</t>
  </si>
  <si>
    <t>T006</t>
  </si>
  <si>
    <t>Nomsa Maseko</t>
  </si>
  <si>
    <t>A06</t>
  </si>
  <si>
    <t>tenant006@example.com</t>
  </si>
  <si>
    <t>+27 789254563</t>
  </si>
  <si>
    <t>T007</t>
  </si>
  <si>
    <t>Palesa Molefe</t>
  </si>
  <si>
    <t>A07</t>
  </si>
  <si>
    <t>tenant007@example.com</t>
  </si>
  <si>
    <t>+27 714265799</t>
  </si>
  <si>
    <t>T008</t>
  </si>
  <si>
    <t>Musa Pillay</t>
  </si>
  <si>
    <t>A08</t>
  </si>
  <si>
    <t>tenant008@example.com</t>
  </si>
  <si>
    <t>+27 722575562</t>
  </si>
  <si>
    <t>T009</t>
  </si>
  <si>
    <t>Neo van Wyk</t>
  </si>
  <si>
    <t>A09</t>
  </si>
  <si>
    <t>tenant009@example.com</t>
  </si>
  <si>
    <t>+27 741227216</t>
  </si>
  <si>
    <t>T010</t>
  </si>
  <si>
    <t>Ayesha Khan</t>
  </si>
  <si>
    <t>tenant010@example.com</t>
  </si>
  <si>
    <t>+27 785329037</t>
  </si>
  <si>
    <t>T011</t>
  </si>
  <si>
    <t>Tshepo Mabuza</t>
  </si>
  <si>
    <t>tenant011@example.com</t>
  </si>
  <si>
    <t>+27 797226012</t>
  </si>
  <si>
    <t>T012</t>
  </si>
  <si>
    <t>Refilwe Mkhize</t>
  </si>
  <si>
    <t>tenant012@example.com</t>
  </si>
  <si>
    <t>+27 739587039</t>
  </si>
  <si>
    <t>E00001</t>
  </si>
  <si>
    <t>CHARGE</t>
  </si>
  <si>
    <t>E00002</t>
  </si>
  <si>
    <t>RENT 2026-01</t>
  </si>
  <si>
    <t>E00003</t>
  </si>
  <si>
    <t>RENT 2026-02</t>
  </si>
  <si>
    <t>E00004</t>
  </si>
  <si>
    <t>PAYMENT</t>
  </si>
  <si>
    <t>E00005</t>
  </si>
  <si>
    <t>PAY 2026-01</t>
  </si>
  <si>
    <t>E00006</t>
  </si>
  <si>
    <t>PAY 2026-02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</si>
  <si>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</si>
  <si>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</si>
  <si>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</si>
  <si>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</si>
  <si>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</si>
  <si>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</si>
  <si>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</si>
  <si>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</si>
  <si>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</si>
  <si>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</si>
  <si>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</si>
  <si>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</si>
  <si>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</si>
  <si>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</si>
  <si>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</si>
  <si>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</si>
  <si>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</si>
  <si>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</si>
  <si>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</si>
  <si>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</si>
  <si>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</si>
  <si>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</si>
  <si>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</si>
  <si>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</si>
  <si>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</si>
  <si>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</si>
  <si>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</si>
  <si>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</si>
  <si>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</si>
  <si>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</si>
  <si>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</si>
  <si>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</si>
  <si>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</si>
  <si>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</si>
  <si>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</si>
  <si>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</si>
  <si>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</si>
  <si>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</si>
  <si>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</si>
  <si>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</si>
  <si>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</si>
  <si>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</si>
  <si>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</si>
  <si>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</si>
  <si>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</si>
  <si>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</si>
  <si>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</si>
  <si>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</si>
  <si>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</si>
  <si>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</si>
  <si>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</si>
  <si>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</si>
  <si>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</si>
  <si>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</si>
  <si>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</si>
  <si>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</si>
  <si>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Tenant_Name</t>
  </si>
  <si>
    <t>Monthly_Rent</t>
  </si>
  <si>
    <t>Due_Day</t>
  </si>
  <si>
    <t>Contact_Email</t>
  </si>
  <si>
    <t>Entry_ID</t>
  </si>
  <si>
    <t>Lease_ID</t>
  </si>
  <si>
    <t>Entry_Date</t>
  </si>
  <si>
    <t>Entry_Type</t>
  </si>
  <si>
    <t>Amount</t>
  </si>
  <si>
    <t>Reference</t>
  </si>
  <si>
    <t>Property_Name</t>
  </si>
  <si>
    <t>Manager_Name</t>
  </si>
  <si>
    <t>lease_id</t>
  </si>
  <si>
    <t>tenant_name</t>
  </si>
  <si>
    <t>property_name</t>
  </si>
  <si>
    <t>manager_name</t>
  </si>
  <si>
    <t>balance</t>
  </si>
  <si>
    <t>days_overdue</t>
  </si>
  <si>
    <t>bucket</t>
  </si>
  <si>
    <t>Block A</t>
  </si>
  <si>
    <t>Manager A</t>
  </si>
  <si>
    <t>Current</t>
  </si>
  <si>
    <t>as_of_date</t>
  </si>
  <si>
    <t>total_arrears</t>
  </si>
  <si>
    <t>active_leases</t>
  </si>
  <si>
    <t>highest_bucket</t>
  </si>
  <si>
    <t>average_arrears</t>
  </si>
  <si>
    <t>Row Labels</t>
  </si>
  <si>
    <t>Grand Total</t>
  </si>
  <si>
    <t>Sum of total_arrears</t>
  </si>
  <si>
    <t>Sum of balance</t>
  </si>
  <si>
    <t>B11</t>
  </si>
  <si>
    <t>B12</t>
  </si>
  <si>
    <t>Block B</t>
  </si>
  <si>
    <t>Manager B</t>
  </si>
  <si>
    <t>B10</t>
  </si>
  <si>
    <t>Sum of days_overdue</t>
  </si>
  <si>
    <t>unit</t>
  </si>
  <si>
    <t>Count of tenant_name</t>
  </si>
  <si>
    <t>Column Labels</t>
  </si>
  <si>
    <t/>
  </si>
  <si>
    <t>Auto-updates from SnapshotData - Click refresh everytime you run the pipeline</t>
  </si>
  <si>
    <t>Max of active_leases</t>
  </si>
  <si>
    <t>D60_PLUS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</si>
  <si>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</si>
  <si>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</si>
  <si>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</si>
  <si>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</si>
  <si>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</si>
  <si>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</si>
  <si>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</si>
  <si>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</si>
  <si>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</si>
  <si>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</si>
  <si>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</si>
  <si>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</si>
  <si>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</si>
  <si>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</si>
  <si>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</si>
  <si>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</si>
  <si>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</si>
  <si>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</si>
  <si>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E00039</t>
  </si>
  <si>
    <t>RENT 2026-03</t>
  </si>
  <si>
    <t>E00082</t>
  </si>
  <si>
    <t>E00083</t>
  </si>
  <si>
    <t>E00084</t>
  </si>
  <si>
    <t>PAY 2026-03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</si>
  <si>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</si>
  <si>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</si>
  <si>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</si>
  <si>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</si>
  <si>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</si>
  <si>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</si>
  <si>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</si>
  <si>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</si>
  <si>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</si>
  <si>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</si>
  <si>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</si>
  <si>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</si>
  <si>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RENT 2026-04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</si>
  <si>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</si>
  <si>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</si>
  <si>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</si>
  <si>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</si>
  <si>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</si>
  <si>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</si>
  <si>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</si>
  <si>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</si>
  <si>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</si>
  <si>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</si>
  <si>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</si>
  <si>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</si>
  <si>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PAY 2026-04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</si>
  <si>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</si>
  <si>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</si>
  <si>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</si>
  <si>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</si>
  <si>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</si>
  <si>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</si>
  <si>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</si>
  <si>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</si>
  <si>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RENT 2026-05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</si>
  <si>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</si>
  <si>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</si>
  <si>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</si>
  <si>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</si>
  <si>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</si>
  <si>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</si>
  <si>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</si>
  <si>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</si>
  <si>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</si>
  <si>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</si>
  <si>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</si>
  <si>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</si>
  <si>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PAY 2026-05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</si>
  <si>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</si>
  <si>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</si>
  <si>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</si>
  <si>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</si>
  <si>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</si>
  <si>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</si>
  <si>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</si>
  <si>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</si>
  <si>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</si>
  <si>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</si>
  <si>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</si>
  <si>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D31_60</t>
  </si>
  <si>
    <t>RENT 2026-06</t>
  </si>
  <si>
    <t>PAY 2026-06</t>
  </si>
  <si>
    <t>PAY 2026-06 PARTIAL</t>
  </si>
  <si>
    <t>RENT 2026-07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</si>
  <si>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</si>
  <si>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</si>
  <si>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</si>
  <si>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</si>
  <si>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</si>
  <si>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</si>
  <si>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</si>
  <si>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</si>
  <si>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</si>
  <si>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</si>
  <si>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</si>
  <si>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</si>
  <si>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PAY 2026-07</t>
  </si>
  <si>
    <t>E00152</t>
  </si>
  <si>
    <t>E00153</t>
  </si>
  <si>
    <t>E00154</t>
  </si>
  <si>
    <t>E00155</t>
  </si>
  <si>
    <t>E00156</t>
  </si>
  <si>
    <t>E00157</t>
  </si>
  <si>
    <t>RENT 2026-08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</si>
  <si>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</si>
  <si>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</si>
  <si>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</si>
  <si>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</si>
  <si>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</si>
  <si>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</si>
  <si>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</si>
  <si>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</si>
  <si>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</si>
  <si>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</si>
  <si>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</si>
  <si>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</si>
  <si>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PAY 2026-08</t>
  </si>
  <si>
    <t>E00170</t>
  </si>
  <si>
    <t>E00171</t>
  </si>
  <si>
    <t>E00172</t>
  </si>
  <si>
    <t>E00173</t>
  </si>
  <si>
    <t>E00174</t>
  </si>
  <si>
    <t>E00175</t>
  </si>
  <si>
    <t>PAY 2026-08 (COVERS JULY)</t>
  </si>
  <si>
    <t>E00176</t>
  </si>
  <si>
    <t>E00177</t>
  </si>
  <si>
    <t>PAY 2026-08 PARTIAL</t>
  </si>
  <si>
    <t>E00178</t>
  </si>
  <si>
    <t>E00179</t>
  </si>
  <si>
    <t>E00180</t>
  </si>
  <si>
    <t>E00181</t>
  </si>
  <si>
    <t>RENT 2026-09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</si>
  <si>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</si>
  <si>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</si>
  <si>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</si>
  <si>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</si>
  <si>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</si>
  <si>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</si>
  <si>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</si>
  <si>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</si>
  <si>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</si>
  <si>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</si>
  <si>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</si>
  <si>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</si>
  <si>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PAY 2026-09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</si>
  <si>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</si>
  <si>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</si>
  <si>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</si>
  <si>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</si>
  <si>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</si>
  <si>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</si>
  <si>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</si>
  <si>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</si>
  <si>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PAY 2026-09 (CATCHUP)</t>
  </si>
  <si>
    <t>E00202</t>
  </si>
  <si>
    <t>E00203</t>
  </si>
  <si>
    <t>PAY 2026-09 CATCHUP</t>
  </si>
  <si>
    <t>E00204</t>
  </si>
  <si>
    <t>E00205</t>
  </si>
  <si>
    <t>RENT 2026-10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</si>
  <si>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</si>
  <si>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</si>
  <si>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</si>
  <si>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</si>
  <si>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</si>
  <si>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</si>
  <si>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</si>
  <si>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</si>
  <si>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</si>
  <si>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</si>
  <si>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</si>
  <si>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</si>
  <si>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PAY 2026-10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</si>
  <si>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</si>
  <si>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</si>
  <si>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</si>
  <si>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</si>
  <si>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</si>
  <si>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</si>
  <si>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</si>
  <si>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</si>
  <si>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</si>
  <si>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</si>
  <si>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PAY 2026-10 (CATCHUP)</t>
  </si>
  <si>
    <t>E00228</t>
  </si>
  <si>
    <t>E00229</t>
  </si>
  <si>
    <t>RENT 2026-11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</si>
  <si>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</si>
  <si>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</si>
  <si>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</si>
  <si>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</si>
  <si>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</si>
  <si>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</si>
  <si>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</si>
  <si>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</si>
  <si>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</si>
  <si>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</si>
  <si>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</si>
  <si>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</si>
  <si>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PAY 2026-11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</si>
  <si>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</si>
  <si>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</si>
  <si>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</si>
  <si>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</si>
  <si>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</si>
  <si>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</si>
  <si>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</si>
  <si>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</si>
  <si>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</si>
  <si>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</si>
  <si>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</si>
  <si>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</si>
  <si>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RENT 2026-12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</si>
  <si>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</si>
  <si>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</si>
  <si>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</si>
  <si>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</si>
  <si>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</si>
  <si>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</si>
  <si>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</si>
  <si>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</si>
  <si>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</si>
  <si>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</si>
  <si>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</si>
  <si>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</si>
  <si>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PAY 2026-12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</si>
  <si>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</si>
  <si>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</si>
  <si>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</si>
  <si>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</si>
  <si>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</si>
  <si>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</si>
  <si>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</si>
  <si>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</si>
  <si>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</si>
  <si>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</si>
  <si>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</si>
  <si>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D08_30</t>
  </si>
  <si>
    <t xml:space="preserve">PAY 2026-06 </t>
  </si>
  <si>
    <t>Move_Out_Date</t>
  </si>
  <si>
    <t>E00284</t>
  </si>
  <si>
    <t>E00288</t>
  </si>
  <si>
    <t>E00285</t>
  </si>
  <si>
    <t>E00287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</si>
</sst>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_-[$R-1C09]* #,##0.00_-;\-[$R-1C09]* #,##0.00_-;_-[$R-1C09]* &quot;-&quot;??_-;_-@_-"/>
    <numFmt numFmtId="169" formatCode="yyyy\-mm\-dd;@"/>
  </numFmts>
  <fonts count="8" x14ac:knownFonts="1">
    <font>
      <sz val="11"/>
      <color theme="1"/>
      <name val="Calibri"/>
      <family val="2"/>
      <scheme val="minor"/>
    </font>
    <font>
      <b/>
      <sz val="18"/>
      <color rgb="FF111827"/>
      <name val="Calibri"/>
      <family val="2"/>
    </font>
    <font>
      <sz val="10"/>
      <color rgb="FF4B5563"/>
      <name val="Calibri"/>
      <family val="2"/>
    </font>
    <font>
      <b/>
      <sz val="11"/>
      <color rgb="FF374151"/>
      <name val="Calibri"/>
      <family val="2"/>
    </font>
    <font>
      <b/>
      <sz val="14"/>
      <color rgb="FF111827"/>
      <name val="Calibri"/>
      <family val="2"/>
    </font>
    <font>
      <b/>
      <sz val="12"/>
      <color rgb="FF111827"/>
      <name val="Calibri"/>
      <family val="2"/>
    </font>
    <font>
      <sz val="8"/>
      <name val="Calibri"/>
      <family val="2"/>
      <scheme val="minor"/>
    </font>
    <font>
      <sz val="11"/>
      <color rgb="FF8B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/>
    <xf numFmtId="0" fontId="7" fillId="0" borderId="0" xfId="0" applyFont="1" applyAlignment="1">
      <alignment vertical="center"/>
    </xf>
    <xf numFmtId="1" fontId="4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166" fontId="4" fillId="2" borderId="1" xfId="0" applyNumberFormat="1" applyFont="1" applyFill="1" applyBorder="1" applyAlignment="1">
      <alignment horizontal="left" vertical="center"/>
    </xf>
    <xf numFmtId="166" fontId="0" fillId="2" borderId="1" xfId="0" applyNumberFormat="1" applyFill="1" applyBorder="1"/>
    <xf numFmtId="164" fontId="4" fillId="2" borderId="1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NumberFormat="1"/>
    <xf numFmtId="166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9" fontId="0" fillId="0" borderId="0" xfId="0" applyNumberFormat="1"/>
  </cellXfs>
  <cellStyles count="1">
    <cellStyle name="Normal" xfId="0" builtinId="0"/>
  </cellStyles>
  <dxfs count="26">
    <dxf>
      <numFmt numFmtId="166" formatCode="_-[$R-1C09]* #,##0.00_-;\-[$R-1C09]* #,##0.00_-;_-[$R-1C09]* &quot;-&quot;??_-;_-@_-"/>
    </dxf>
    <dxf>
      <numFmt numFmtId="1" formatCode="0"/>
    </dxf>
    <dxf>
      <numFmt numFmtId="166" formatCode="_-[$R-1C09]* #,##0.00_-;\-[$R-1C09]* #,##0.00_-;_-[$R-1C09]* &quot;-&quot;??_-;_-@_-"/>
    </dxf>
    <dxf>
      <numFmt numFmtId="1" formatCode="0"/>
    </dxf>
    <dxf>
      <numFmt numFmtId="166" formatCode="_-[$R-1C09]* #,##0.00_-;\-[$R-1C09]* #,##0.00_-;_-[$R-1C09]* &quot;-&quot;??_-;_-@_-"/>
    </dxf>
    <dxf>
      <numFmt numFmtId="0" formatCode="General"/>
    </dxf>
    <dxf>
      <numFmt numFmtId="19" formatCode="m/d/yy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E07D"/>
        </patternFill>
      </fill>
    </dxf>
    <dxf>
      <font>
        <color rgb="FF9C5700"/>
      </font>
      <fill>
        <patternFill>
          <bgColor rgb="FFFFFFB3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6" formatCode="_-[$R-1C09]* #,##0.00_-;\-[$R-1C09]* #,##0.00_-;_-[$R-1C09]* &quot;-&quot;??_-;_-@_-"/>
    </dxf>
    <dxf>
      <numFmt numFmtId="166" formatCode="_-[$R-1C09]* #,##0.00_-;\-[$R-1C09]* #,##0.00_-;_-[$R-1C09]* &quot;-&quot;??_-;_-@_-"/>
    </dxf>
    <dxf>
      <numFmt numFmtId="166" formatCode="_-[$R-1C09]* #,##0.00_-;\-[$R-1C09]* #,##0.00_-;_-[$R-1C09]* &quot;-&quot;??_-;_-@_-"/>
    </dxf>
    <dxf>
      <numFmt numFmtId="166" formatCode="_-[$R-1C09]* #,##0.00_-;\-[$R-1C09]* #,##0.00_-;_-[$R-1C09]* &quot;-&quot;??_-;_-@_-"/>
    </dxf>
    <dxf>
      <numFmt numFmtId="1" formatCode="0"/>
    </dxf>
    <dxf>
      <numFmt numFmtId="166" formatCode="_-[$R-1C09]* #,##0.00_-;\-[$R-1C09]* #,##0.00_-;_-[$R-1C09]* &quot;-&quot;??_-;_-@_-"/>
    </dxf>
  </dxfs>
  <tableStyles count="0" defaultTableStyle="TableStyleMedium9" defaultPivotStyle="PivotStyleLight16"/>
  <colors>
    <mruColors>
      <color rgb="FFFFE07D"/>
      <color rgb="FFFFFFB3"/>
      <color rgb="FFFDB603"/>
      <color rgb="FFF7D5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[tenant_arrears_mock.xlsx]Pivots!PivotTable15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By Buckets</a:t>
            </a:r>
          </a:p>
        </c:rich>
      </c:tx>
      <c:layout>
        <c:manualLayout>
          <c:xMode val="edge"/>
          <c:yMode val="edge"/>
          <c:x val="0.4097697787776528"/>
          <c:y val="0.12464599601398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solidFill>
            <a:srgbClr val="FDB603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solidFill>
            <a:srgbClr val="FFFF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30033070866141731"/>
          <c:y val="0.25446771435728216"/>
          <c:w val="0.60133608298962626"/>
          <c:h val="0.635457683972076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F0E-4003-9957-6D28793AEEE1}"/>
              </c:ext>
            </c:extLst>
          </c:dPt>
          <c:dPt>
            <c:idx val="1"/>
            <c:invertIfNegative val="0"/>
            <c:bubble3D val="0"/>
            <c:spPr>
              <a:solidFill>
                <a:srgbClr val="FDB603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0-EF0E-4003-9957-6D28793AEEE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F0E-4003-9957-6D28793AEEE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F0E-4003-9957-6D28793AEEE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Pivots!$A$4:$A$6</c:f>
              <c:strCache>
                <c:ptCount val="2"/>
                <c:pt idx="0">
                  <c:v>Current</c:v>
                </c:pt>
                <c:pt idx="1">
                  <c:v>D08_30</c:v>
                </c:pt>
              </c:strCache>
            </c:strRef>
          </c:cat>
          <c:val>
            <c:numRef>
              <c:f>Pivots!$B$4:$B$6</c:f>
              <c:numCache>
                <c:formatCode>_-[$R-1C09]* #,##0.00_-;\-[$R-1C09]* #,##0.00_-;_-[$R-1C09]* "-"??_-;_-@_-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2-422F-9BE3-78AE6315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9159376"/>
        <c:axId val="139183376"/>
      </c:barChart>
      <c:catAx>
        <c:axId val="139159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3376"/>
        <c:crosses val="autoZero"/>
        <c:auto val="1"/>
        <c:lblAlgn val="ctr"/>
        <c:lblOffset val="100"/>
        <c:noMultiLvlLbl val="0"/>
      </c:catAx>
      <c:valAx>
        <c:axId val="13918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59376"/>
        <c:crosses val="autoZero"/>
        <c:crossBetween val="between"/>
        <c:majorUnit val="50000"/>
        <c:minorUnit val="2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[tenant_arrears_mock.xlsx]Pivots!PivotTable16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Workload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Pivots!$E$3</c:f>
              <c:strCache>
                <c:ptCount val="1"/>
                <c:pt idx="0">
                  <c:v>Count of tenant_name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Pivots!$D$4:$D$5</c:f>
              <c:strCache>
                <c:ptCount val="1"/>
                <c:pt idx="0">
                  <c:v>Manager B</c:v>
                </c:pt>
              </c:strCache>
            </c:strRef>
          </c:cat>
          <c:val>
            <c:numRef>
              <c:f>Pivots!$E$4:$E$5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1-4E1B-B13F-1ED2E3E1E38C}"/>
            </c:ext>
          </c:extLst>
        </c:ser>
        <c:ser>
          <c:idx val="1"/>
          <c:order val="1"/>
          <c:tx>
            <c:strRef>
              <c:f>Pivots!$F$3</c:f>
              <c:strCache>
                <c:ptCount val="1"/>
                <c:pt idx="0">
                  <c:v>Sum of balance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Pivots!$D$4:$D$5</c:f>
              <c:strCache>
                <c:ptCount val="1"/>
                <c:pt idx="0">
                  <c:v>Manager B</c:v>
                </c:pt>
              </c:strCache>
            </c:strRef>
          </c:cat>
          <c:val>
            <c:numRef>
              <c:f>Pivots!$F$4:$F$5</c:f>
              <c:numCache>
                <c:formatCode>_-[$R-1C09]* #,##0.00_-;\-[$R-1C09]* #,##0.00_-;_-[$R-1C09]* "-"??_-;_-@_-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1-4E1B-B13F-1ED2E3E1E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9168976"/>
        <c:axId val="139167056"/>
      </c:barChart>
      <c:catAx>
        <c:axId val="1391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67056"/>
        <c:crosses val="autoZero"/>
        <c:auto val="1"/>
        <c:lblAlgn val="ctr"/>
        <c:lblOffset val="100"/>
        <c:noMultiLvlLbl val="0"/>
      </c:catAx>
      <c:valAx>
        <c:axId val="139167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16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[tenant_arrears_mock.xlsx]Pivots!PivotTable17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Arrears By Property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FFFF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Pivots!$I$3:$I$4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Pivots!$H$5:$H$7</c:f>
              <c:strCache>
                <c:ptCount val="2"/>
                <c:pt idx="0">
                  <c:v>Block A</c:v>
                </c:pt>
                <c:pt idx="1">
                  <c:v>Block B</c:v>
                </c:pt>
              </c:strCache>
            </c:strRef>
          </c:cat>
          <c:val>
            <c:numRef>
              <c:f>Pivots!$I$5:$I$7</c:f>
              <c:numCache>
                <c:formatCode>_-[$R-1C09]* #,##0.00_-;\-[$R-1C09]* #,##0.00_-;_-[$R-1C09]*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9-451E-8639-6559C974687D}"/>
            </c:ext>
          </c:extLst>
        </c:ser>
        <c:ser>
          <c:idx val="1"/>
          <c:order val="1"/>
          <c:tx>
            <c:strRef>
              <c:f>Pivots!$J$3:$J$4</c:f>
              <c:strCache>
                <c:ptCount val="1"/>
                <c:pt idx="0">
                  <c:v>D08_30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Pivots!$H$5:$H$7</c:f>
              <c:strCache>
                <c:ptCount val="2"/>
                <c:pt idx="0">
                  <c:v>Block A</c:v>
                </c:pt>
                <c:pt idx="1">
                  <c:v>Block B</c:v>
                </c:pt>
              </c:strCache>
            </c:strRef>
          </c:cat>
          <c:val>
            <c:numRef>
              <c:f>Pivots!$J$5:$J$7</c:f>
              <c:numCache>
                <c:formatCode>_-[$R-1C09]* #,##0.00_-;\-[$R-1C09]* #,##0.00_-;_-[$R-1C09]* "-"??_-;_-@_-</c:formatCode>
                <c:ptCount val="2"/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8D-45F4-B477-A68A0C76A0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741264"/>
        <c:axId val="138730224"/>
      </c:barChart>
      <c:catAx>
        <c:axId val="13874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30224"/>
        <c:crosses val="autoZero"/>
        <c:auto val="1"/>
        <c:lblAlgn val="ctr"/>
        <c:lblOffset val="100"/>
        <c:noMultiLvlLbl val="0"/>
      </c:catAx>
      <c:valAx>
        <c:axId val="138730224"/>
        <c:scaling>
          <c:orientation val="minMax"/>
        </c:scaling>
        <c:delete val="0"/>
        <c:axPos val="l"/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[tenant_arrears_mock.xlsx]Pivots!PivotTable19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13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</c:pivotFmt>
      <c:pivotFmt>
        <c:idx val="1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16"/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17"/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18"/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19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Pivots!$Q$3</c:f>
              <c:strCache>
                <c:ptCount val="1"/>
                <c:pt idx="0">
                  <c:v>Sum of total_arrears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1000"/>
                        <a:satMod val="130000"/>
                      </a:schemeClr>
                    </a:gs>
                    <a:gs pos="80000">
                      <a:schemeClr val="accent2"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9D2-45E9-A687-CFF8764E97BC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1000"/>
                        <a:satMod val="130000"/>
                      </a:schemeClr>
                    </a:gs>
                    <a:gs pos="80000">
                      <a:schemeClr val="accent2"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6F8-443C-B83A-4816C3710F42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1000"/>
                        <a:satMod val="130000"/>
                      </a:schemeClr>
                    </a:gs>
                    <a:gs pos="80000">
                      <a:schemeClr val="accent2"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Pivots!$P$4:$P$20</c:f>
              <c:strCache>
                <c:ptCount val="16"/>
                <c:pt idx="0">
                  <c:v>4/10/2026</c:v>
                </c:pt>
                <c:pt idx="1">
                  <c:v>5/10/2026</c:v>
                </c:pt>
                <c:pt idx="2">
                  <c:v>6/10/2026</c:v>
                </c:pt>
                <c:pt idx="3">
                  <c:v>7/10/2026</c:v>
                </c:pt>
                <c:pt idx="4">
                  <c:v>8/10/2026</c:v>
                </c:pt>
                <c:pt idx="5">
                  <c:v>9/10/2026</c:v>
                </c:pt>
                <c:pt idx="6">
                  <c:v>10/10/2026</c:v>
                </c:pt>
                <c:pt idx="7">
                  <c:v>11/10/2026</c:v>
                </c:pt>
                <c:pt idx="8">
                  <c:v>12/10/2026</c:v>
                </c:pt>
                <c:pt idx="9">
                  <c:v>12/20/2026</c:v>
                </c:pt>
                <c:pt idx="10">
                  <c:v>12/21/2026</c:v>
                </c:pt>
                <c:pt idx="11">
                  <c:v>12/22/2026</c:v>
                </c:pt>
                <c:pt idx="12">
                  <c:v>12/24/2026</c:v>
                </c:pt>
                <c:pt idx="13">
                  <c:v>12/25/2026</c:v>
                </c:pt>
                <c:pt idx="14">
                  <c:v>12/26/2026</c:v>
                </c:pt>
                <c:pt idx="15">
                  <c:v>12/27/2026</c:v>
                </c:pt>
              </c:strCache>
            </c:strRef>
          </c:cat>
          <c:val>
            <c:numRef>
              <c:f>Pivots!$Q$4:$Q$20</c:f>
              <c:numCache>
                <c:formatCode>_-[$R-1C09]* #,##0.00_-;\-[$R-1C09]* #,##0.00_-;_-[$R-1C09]* "-"??_-;_-@_-</c:formatCode>
                <c:ptCount val="16"/>
                <c:pt idx="0">
                  <c:v>0</c:v>
                </c:pt>
                <c:pt idx="1">
                  <c:v>33000</c:v>
                </c:pt>
                <c:pt idx="2">
                  <c:v>66000</c:v>
                </c:pt>
                <c:pt idx="3">
                  <c:v>78450</c:v>
                </c:pt>
                <c:pt idx="4">
                  <c:v>111450</c:v>
                </c:pt>
                <c:pt idx="5">
                  <c:v>123900</c:v>
                </c:pt>
                <c:pt idx="6">
                  <c:v>128500</c:v>
                </c:pt>
                <c:pt idx="7">
                  <c:v>128500</c:v>
                </c:pt>
                <c:pt idx="8">
                  <c:v>95500</c:v>
                </c:pt>
                <c:pt idx="9">
                  <c:v>95500</c:v>
                </c:pt>
                <c:pt idx="10">
                  <c:v>90300</c:v>
                </c:pt>
                <c:pt idx="11">
                  <c:v>85800</c:v>
                </c:pt>
                <c:pt idx="12">
                  <c:v>70900</c:v>
                </c:pt>
                <c:pt idx="13">
                  <c:v>57300</c:v>
                </c:pt>
                <c:pt idx="14">
                  <c:v>13850</c:v>
                </c:pt>
                <c:pt idx="15">
                  <c:v>13950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D2-45E9-A687-CFF8764E97BC}"/>
            </c:ext>
          </c:extLst>
        </c:ser>
        <c:ser>
          <c:idx val="1"/>
          <c:order val="1"/>
          <c:tx>
            <c:strRef>
              <c:f>Pivots!$R$3</c:f>
              <c:strCache>
                <c:ptCount val="1"/>
                <c:pt idx="0">
                  <c:v>Max of active_leases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Pivots!$P$4:$P$20</c:f>
              <c:strCache>
                <c:ptCount val="16"/>
                <c:pt idx="0">
                  <c:v>4/10/2026</c:v>
                </c:pt>
                <c:pt idx="1">
                  <c:v>5/10/2026</c:v>
                </c:pt>
                <c:pt idx="2">
                  <c:v>6/10/2026</c:v>
                </c:pt>
                <c:pt idx="3">
                  <c:v>7/10/2026</c:v>
                </c:pt>
                <c:pt idx="4">
                  <c:v>8/10/2026</c:v>
                </c:pt>
                <c:pt idx="5">
                  <c:v>9/10/2026</c:v>
                </c:pt>
                <c:pt idx="6">
                  <c:v>10/10/2026</c:v>
                </c:pt>
                <c:pt idx="7">
                  <c:v>11/10/2026</c:v>
                </c:pt>
                <c:pt idx="8">
                  <c:v>12/10/2026</c:v>
                </c:pt>
                <c:pt idx="9">
                  <c:v>12/20/2026</c:v>
                </c:pt>
                <c:pt idx="10">
                  <c:v>12/21/2026</c:v>
                </c:pt>
                <c:pt idx="11">
                  <c:v>12/22/2026</c:v>
                </c:pt>
                <c:pt idx="12">
                  <c:v>12/24/2026</c:v>
                </c:pt>
                <c:pt idx="13">
                  <c:v>12/25/2026</c:v>
                </c:pt>
                <c:pt idx="14">
                  <c:v>12/26/2026</c:v>
                </c:pt>
                <c:pt idx="15">
                  <c:v>12/27/2026</c:v>
                </c:pt>
              </c:strCache>
            </c:strRef>
          </c:cat>
          <c:val>
            <c:numRef>
              <c:f>Pivots!$R$4:$R$20</c:f>
              <c:numCache>
                <c:formatCode>0</c:formatCode>
                <c:ptCount val="16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B-44BE-8482-97E5E8A03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40784"/>
        <c:axId val="138734064"/>
      </c:lineChart>
      <c:catAx>
        <c:axId val="13874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34064"/>
        <c:crosses val="autoZero"/>
        <c:auto val="1"/>
        <c:lblAlgn val="ctr"/>
        <c:lblOffset val="100"/>
        <c:noMultiLvlLbl val="0"/>
      </c:catAx>
      <c:valAx>
        <c:axId val="138734064"/>
        <c:scaling>
          <c:orientation val="minMax"/>
        </c:scaling>
        <c:delete val="1"/>
        <c:axPos val="l"/>
        <c:numFmt formatCode="_-[$R-1C09]* #,##0.00_-;\-[$R-1C09]* #,##0.00_-;_-[$R-1C09]* &quot;-&quot;??_-;_-@_-" sourceLinked="1"/>
        <c:majorTickMark val="out"/>
        <c:minorTickMark val="none"/>
        <c:tickLblPos val="nextTo"/>
        <c:crossAx val="13874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190499</xdr:rowOff>
    </xdr:from>
    <xdr:to>
      <xdr:col>21</xdr:col>
      <xdr:colOff>584443</xdr:colOff>
      <xdr:row>37</xdr:row>
      <xdr:rowOff>27215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884550D-5DEA-9827-9A74-3FEFBA3816F6}"/>
            </a:ext>
          </a:extLst>
        </xdr:cNvPr>
        <xdr:cNvGrpSpPr/>
      </xdr:nvGrpSpPr>
      <xdr:grpSpPr>
        <a:xfrm>
          <a:off x="0" y="2952749"/>
          <a:ext cx="17783872" cy="4408716"/>
          <a:chOff x="0" y="3398072"/>
          <a:chExt cx="15322429" cy="2305022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95983933-7B99-EF17-A36C-42CC9C31531A}"/>
              </a:ext>
            </a:extLst>
          </xdr:cNvPr>
          <xdr:cNvGraphicFramePr/>
        </xdr:nvGraphicFramePr>
        <xdr:xfrm>
          <a:off x="0" y="3398073"/>
          <a:ext cx="3984522" cy="23050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CB962D40-6C8E-D7B9-5ED4-B05150B02B25}"/>
              </a:ext>
            </a:extLst>
          </xdr:cNvPr>
          <xdr:cNvGraphicFramePr/>
        </xdr:nvGraphicFramePr>
        <xdr:xfrm>
          <a:off x="3984521" y="3398073"/>
          <a:ext cx="3772255" cy="23050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A710170-BF55-0B23-C5AF-56E50ECDEF5F}"/>
              </a:ext>
            </a:extLst>
          </xdr:cNvPr>
          <xdr:cNvGraphicFramePr/>
        </xdr:nvGraphicFramePr>
        <xdr:xfrm>
          <a:off x="7756777" y="3398072"/>
          <a:ext cx="3922338" cy="23050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Chart 5">
            <a:extLst>
              <a:ext uri="{FF2B5EF4-FFF2-40B4-BE49-F238E27FC236}">
                <a16:creationId xmlns:a16="http://schemas.microsoft.com/office/drawing/2014/main" id="{972410CF-92E6-90F7-2284-2EFD9F56E735}"/>
              </a:ext>
            </a:extLst>
          </xdr:cNvPr>
          <xdr:cNvGraphicFramePr/>
        </xdr:nvGraphicFramePr>
        <xdr:xfrm>
          <a:off x="11679116" y="3398073"/>
          <a:ext cx="3643313" cy="22979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mputer Science" refreshedDate="46078.362968055553" createdVersion="8" refreshedVersion="8" minRefreshableVersion="3" recordCount="22" xr:uid="{732516E9-FF67-4F3E-B86B-43CB617836E0}">
  <cacheSource type="worksheet">
    <worksheetSource name="arrears_history"/>
  </cacheSource>
  <cacheFields count="5">
    <cacheField name="as_of_date" numFmtId="14">
      <sharedItems containsNonDate="0" containsDate="1" containsString="0" containsBlank="1" minDate="2025-02-01T00:00:00" maxDate="2027-01-06T00:00:00" count="65"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d v="2026-12-20T00:00:00"/>
        <d v="2026-12-21T00:00:00"/>
        <d v="2026-12-22T00:00:00"/>
        <d v="2026-12-24T00:00:00"/>
        <d v="2026-12-25T00:00:00"/>
        <d v="2026-12-26T00:00:00"/>
        <d v="2026-12-27T00:00:00"/>
        <m/>
        <d v="2026-01-01T00:00:00" u="1"/>
        <d v="2026-06-20T00:00:00" u="1"/>
        <d v="2026-06-22T00:00:00" u="1"/>
        <d v="2026-06-23T00:00:00" u="1"/>
        <d v="2026-06-24T00:00:00" u="1"/>
        <d v="2026-06-25T00:00:00" u="1"/>
        <d v="2026-07-25T00:00:00" u="1"/>
        <d v="2026-06-11T00:00:00" u="1"/>
        <d v="2026-02-01T00:00:00" u="1"/>
        <d v="2026-03-01T00:00:00" u="1"/>
        <d v="2026-04-01T00:00:00" u="1"/>
        <d v="2026-05-01T00:00:00" u="1"/>
        <d v="2026-06-01T00:00:00" u="1"/>
        <d v="2026-07-01T00:00:00" u="1"/>
        <d v="2026-08-01T00:00:00" u="1"/>
        <d v="2026-09-01T00:00:00" u="1"/>
        <d v="2026-10-01T00:00:00" u="1"/>
        <d v="2026-11-01T00:00:00" u="1"/>
        <d v="2026-12-01T00:00:00" u="1"/>
        <d v="2026-01-05T00:00:00" u="1"/>
        <d v="2026-02-05T00:00:00" u="1"/>
        <d v="2026-03-05T00:00:00" u="1"/>
        <d v="2026-04-05T00:00:00" u="1"/>
        <d v="2026-05-05T00:00:00" u="1"/>
        <d v="2026-06-05T00:00:00" u="1"/>
        <d v="2026-07-05T00:00:00" u="1"/>
        <d v="2026-08-05T00:00:00" u="1"/>
        <d v="2026-09-05T00:00:00" u="1"/>
        <d v="2026-10-05T00:00:00" u="1"/>
        <d v="2026-11-05T00:00:00" u="1"/>
        <d v="2026-12-05T00:00:00" u="1"/>
        <d v="2027-01-05T00:00:00" u="1"/>
        <d v="2025-12-05T00:00:00" u="1"/>
        <d v="2025-06-10T00:00:00" u="1"/>
        <d v="2025-06-01T00:00:00" u="1"/>
        <d v="2025-07-01T00:00:00" u="1"/>
        <d v="2025-08-01T00:00:00" u="1"/>
        <d v="2025-09-01T00:00:00" u="1"/>
        <d v="2025-10-01T00:00:00" u="1"/>
        <d v="2025-11-01T00:00:00" u="1"/>
        <d v="2025-12-01T00:00:00" u="1"/>
        <d v="2025-02-01T00:00:00" u="1"/>
        <d v="2025-03-01T00:00:00" u="1"/>
        <d v="2026-02-21T00:00:00" u="1"/>
        <d v="2026-02-22T00:00:00" u="1"/>
      </sharedItems>
    </cacheField>
    <cacheField name="total_arrears" numFmtId="0">
      <sharedItems containsString="0" containsBlank="1" containsNumber="1" containsInteger="1" minValue="0" maxValue="128500"/>
    </cacheField>
    <cacheField name="active_leases" numFmtId="0">
      <sharedItems containsString="0" containsBlank="1" containsNumber="1" containsInteger="1" minValue="0" maxValue="6"/>
    </cacheField>
    <cacheField name="highest_bucket" numFmtId="0">
      <sharedItems/>
    </cacheField>
    <cacheField name="average_arrears" numFmtId="0">
      <sharedItems containsString="0" containsBlank="1" containsNumber="1" minValue="0" maxValue="21416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mputer Science" refreshedDate="46078.362968518515" createdVersion="8" refreshedVersion="8" minRefreshableVersion="3" recordCount="12" xr:uid="{D7E36ED9-C469-45BD-B6DD-ACE52D565CE8}">
  <cacheSource type="worksheet">
    <worksheetSource name="arrears_snapshot_latest"/>
  </cacheSource>
  <cacheFields count="8">
    <cacheField name="lease_id" numFmtId="0">
      <sharedItems count="12">
        <s v="T011"/>
        <s v="T001"/>
        <s v="T002"/>
        <s v="T003"/>
        <s v="T004"/>
        <s v="T005"/>
        <s v="T006"/>
        <s v="T007"/>
        <s v="T008"/>
        <s v="T009"/>
        <s v="T010"/>
        <s v="T012"/>
      </sharedItems>
    </cacheField>
    <cacheField name="tenant_name" numFmtId="0">
      <sharedItems count="12">
        <s v="Tshepo Mabuza"/>
        <s v="Sipho Dlamini"/>
        <s v="Lerato Mokoena"/>
        <s v="Thabo Nkosi"/>
        <s v="Zanele Khumalo"/>
        <s v="Kagiso Ndlovu"/>
        <s v="Nomsa Maseko"/>
        <s v="Palesa Molefe"/>
        <s v="Musa Pillay"/>
        <s v="Neo van Wyk"/>
        <s v="Ayesha Khan"/>
        <s v="Refilwe Mkhize"/>
      </sharedItems>
    </cacheField>
    <cacheField name="property_name" numFmtId="0">
      <sharedItems count="2">
        <s v="Block B"/>
        <s v="Block A"/>
      </sharedItems>
    </cacheField>
    <cacheField name="manager_name" numFmtId="0">
      <sharedItems count="2">
        <s v="Manager B"/>
        <s v="Manager A"/>
      </sharedItems>
    </cacheField>
    <cacheField name="balance" numFmtId="0">
      <sharedItems containsSemiMixedTypes="0" containsString="0" containsNumber="1" containsInteger="1" minValue="-1300" maxValue="30300" count="39">
        <n v="100"/>
        <n v="0"/>
        <n v="9900" u="1"/>
        <n v="2600" u="1"/>
        <n v="1250" u="1"/>
        <n v="23500" u="1"/>
        <n v="7800" u="1"/>
        <n v="2250" u="1"/>
        <n v="11250" u="1"/>
        <n v="13000" u="1"/>
        <n v="6750" u="1"/>
        <n v="30300" u="1"/>
        <n v="18200" u="1"/>
        <n v="15750" u="1"/>
        <n v="28000" u="1"/>
        <n v="24200" u="1"/>
        <n v="15600" u="1"/>
        <n v="13500" u="1"/>
        <n v="17400" u="1"/>
        <n v="10400" u="1"/>
        <n v="9000" u="1"/>
        <n v="13600" u="1"/>
        <n v="6800" u="1"/>
        <n v="5200" u="1"/>
        <n v="4500" u="1"/>
        <n v="10600" u="1"/>
        <n v="20800" u="1"/>
        <n v="18000" u="1"/>
        <n v="19400" u="1"/>
        <n v="26200" u="1"/>
        <n v="24400" u="1"/>
        <n v="21000" u="1"/>
        <n v="16700" u="1"/>
        <n v="11900" u="1"/>
        <n v="18700" u="1"/>
        <n v="14300" u="1"/>
        <n v="9100" u="1"/>
        <n v="3900" u="1"/>
        <n v="-1300" u="1"/>
      </sharedItems>
    </cacheField>
    <cacheField name="unit" numFmtId="0">
      <sharedItems count="12">
        <s v="B11"/>
        <s v="A01"/>
        <s v="A02"/>
        <s v="A03"/>
        <s v="A04"/>
        <s v="A05"/>
        <s v="A06"/>
        <s v="A07"/>
        <s v="A08"/>
        <s v="A09"/>
        <s v="B10"/>
        <s v="B12"/>
      </sharedItems>
    </cacheField>
    <cacheField name="days_overdue" numFmtId="0">
      <sharedItems containsString="0" containsBlank="1" containsNumber="1" containsInteger="1" minValue="26" maxValue="26"/>
    </cacheField>
    <cacheField name="bucket" numFmtId="0">
      <sharedItems count="5">
        <s v="D08_30"/>
        <s v="Current"/>
        <s v="D31_60" u="1"/>
        <s v="D60_PLUS" u="1"/>
        <s v="D01_07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0"/>
    <n v="0"/>
    <s v="Current"/>
    <n v="0"/>
  </r>
  <r>
    <x v="1"/>
    <n v="0"/>
    <n v="0"/>
    <s v="Current"/>
    <n v="0"/>
  </r>
  <r>
    <x v="2"/>
    <n v="0"/>
    <n v="0"/>
    <s v="Current"/>
    <n v="0"/>
  </r>
  <r>
    <x v="3"/>
    <n v="0"/>
    <n v="0"/>
    <s v="Current"/>
    <n v="0"/>
  </r>
  <r>
    <x v="4"/>
    <n v="33000"/>
    <n v="6"/>
    <s v="D08_30"/>
    <n v="5500"/>
  </r>
  <r>
    <x v="5"/>
    <n v="66000"/>
    <n v="6"/>
    <s v="D31_60"/>
    <n v="11000"/>
  </r>
  <r>
    <x v="6"/>
    <n v="78450"/>
    <n v="6"/>
    <s v="D60_PLUS"/>
    <n v="13075"/>
  </r>
  <r>
    <x v="7"/>
    <n v="111450"/>
    <n v="6"/>
    <s v="D60_PLUS"/>
    <n v="18575"/>
  </r>
  <r>
    <x v="8"/>
    <n v="123900"/>
    <n v="6"/>
    <s v="D60_PLUS"/>
    <n v="20650"/>
  </r>
  <r>
    <x v="9"/>
    <n v="128500"/>
    <n v="6"/>
    <s v="D60_PLUS"/>
    <n v="21416.67"/>
  </r>
  <r>
    <x v="10"/>
    <n v="128500"/>
    <n v="6"/>
    <s v="D60_PLUS"/>
    <n v="21416.67"/>
  </r>
  <r>
    <x v="11"/>
    <n v="95500"/>
    <n v="6"/>
    <s v="D60_PLUS"/>
    <n v="15916.67"/>
  </r>
  <r>
    <x v="12"/>
    <n v="95500"/>
    <n v="6"/>
    <s v="D60_PLUS"/>
    <n v="15916.67"/>
  </r>
  <r>
    <x v="13"/>
    <n v="90300"/>
    <n v="6"/>
    <s v="D60_PLUS"/>
    <n v="15050"/>
  </r>
  <r>
    <x v="14"/>
    <n v="85800"/>
    <n v="6"/>
    <s v="D60_PLUS"/>
    <n v="14300"/>
  </r>
  <r>
    <x v="15"/>
    <n v="70900"/>
    <n v="6"/>
    <s v="D60_PLUS"/>
    <n v="11816.67"/>
  </r>
  <r>
    <x v="16"/>
    <n v="57300"/>
    <n v="6"/>
    <s v="D60_PLUS"/>
    <n v="9550"/>
  </r>
  <r>
    <x v="17"/>
    <n v="13850"/>
    <n v="4"/>
    <s v="D31_60"/>
    <n v="3462.5"/>
  </r>
  <r>
    <x v="18"/>
    <n v="13850"/>
    <n v="4"/>
    <s v="D31_60"/>
    <n v="3462.5"/>
  </r>
  <r>
    <x v="18"/>
    <n v="100"/>
    <n v="1"/>
    <s v="D08_30"/>
    <n v="100"/>
  </r>
  <r>
    <x v="19"/>
    <m/>
    <m/>
    <s v=""/>
    <m/>
  </r>
  <r>
    <x v="19"/>
    <n v="47300"/>
    <n v="6"/>
    <s v="D60_PLUS"/>
    <n v="7883.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x v="0"/>
    <x v="0"/>
    <n v="26"/>
    <x v="0"/>
  </r>
  <r>
    <x v="1"/>
    <x v="1"/>
    <x v="1"/>
    <x v="1"/>
    <x v="1"/>
    <x v="1"/>
    <m/>
    <x v="1"/>
  </r>
  <r>
    <x v="2"/>
    <x v="2"/>
    <x v="1"/>
    <x v="1"/>
    <x v="1"/>
    <x v="2"/>
    <m/>
    <x v="1"/>
  </r>
  <r>
    <x v="3"/>
    <x v="3"/>
    <x v="1"/>
    <x v="1"/>
    <x v="1"/>
    <x v="3"/>
    <m/>
    <x v="1"/>
  </r>
  <r>
    <x v="4"/>
    <x v="4"/>
    <x v="1"/>
    <x v="1"/>
    <x v="1"/>
    <x v="4"/>
    <m/>
    <x v="1"/>
  </r>
  <r>
    <x v="5"/>
    <x v="5"/>
    <x v="1"/>
    <x v="1"/>
    <x v="1"/>
    <x v="5"/>
    <m/>
    <x v="1"/>
  </r>
  <r>
    <x v="6"/>
    <x v="6"/>
    <x v="1"/>
    <x v="1"/>
    <x v="1"/>
    <x v="6"/>
    <m/>
    <x v="1"/>
  </r>
  <r>
    <x v="7"/>
    <x v="7"/>
    <x v="1"/>
    <x v="1"/>
    <x v="1"/>
    <x v="7"/>
    <m/>
    <x v="1"/>
  </r>
  <r>
    <x v="8"/>
    <x v="8"/>
    <x v="1"/>
    <x v="1"/>
    <x v="1"/>
    <x v="8"/>
    <m/>
    <x v="1"/>
  </r>
  <r>
    <x v="9"/>
    <x v="9"/>
    <x v="1"/>
    <x v="1"/>
    <x v="1"/>
    <x v="9"/>
    <m/>
    <x v="1"/>
  </r>
  <r>
    <x v="10"/>
    <x v="10"/>
    <x v="0"/>
    <x v="0"/>
    <x v="1"/>
    <x v="10"/>
    <m/>
    <x v="1"/>
  </r>
  <r>
    <x v="11"/>
    <x v="11"/>
    <x v="0"/>
    <x v="0"/>
    <x v="1"/>
    <x v="11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113FF-42EE-4D65-83E1-FE8F7A725804}" name="PivotTable18" cacheId="338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3">
  <location ref="H5:J8" firstHeaderRow="0" firstDataRow="1" firstDataCol="1" rowPageCount="1" colPageCount="1"/>
  <pivotFields count="8">
    <pivotField axis="axisRow" showAll="0" sortType="descending">
      <items count="13">
        <item x="11"/>
        <item x="0"/>
        <item x="10"/>
        <item x="9"/>
        <item x="8"/>
        <item x="7"/>
        <item x="6"/>
        <item x="5"/>
        <item x="4"/>
        <item x="3"/>
        <item x="2"/>
        <item x="1"/>
        <item t="default"/>
      </items>
    </pivotField>
    <pivotField axis="axisRow" showAll="0" sortType="ascending">
      <items count="13">
        <item x="10"/>
        <item sd="0" x="5"/>
        <item sd="0" x="2"/>
        <item sd="0" x="8"/>
        <item sd="0" x="9"/>
        <item sd="0" x="6"/>
        <item sd="0" x="7"/>
        <item sd="0" x="11"/>
        <item sd="0" x="1"/>
        <item sd="0" x="3"/>
        <item x="0"/>
        <item sd="0" x="4"/>
        <item t="default"/>
      </items>
    </pivotField>
    <pivotField showAll="0"/>
    <pivotField showAll="0"/>
    <pivotField axis="axisPage" dataField="1" numFmtId="166" multipleItemSelectionAllowed="1" showAll="0">
      <items count="40">
        <item h="1" x="1"/>
        <item m="1" x="10"/>
        <item m="1" x="6"/>
        <item m="1" x="35"/>
        <item m="1" x="34"/>
        <item m="1" x="24"/>
        <item m="1" x="23"/>
        <item h="1" m="1" x="37"/>
        <item h="1" m="1" x="36"/>
        <item m="1" x="22"/>
        <item h="1" m="1" x="33"/>
        <item m="1" x="7"/>
        <item h="1" m="1" x="38"/>
        <item h="1" m="1" x="32"/>
        <item m="1" x="19"/>
        <item m="1" x="31"/>
        <item m="1" x="9"/>
        <item m="1" x="20"/>
        <item h="1" m="1" x="30"/>
        <item h="1" m="1" x="29"/>
        <item m="1" x="12"/>
        <item m="1" x="17"/>
        <item m="1" x="28"/>
        <item m="1" x="21"/>
        <item m="1" x="18"/>
        <item m="1" x="8"/>
        <item m="1" x="15"/>
        <item m="1" x="13"/>
        <item m="1" x="14"/>
        <item m="1" x="26"/>
        <item m="1" x="27"/>
        <item m="1" x="11"/>
        <item m="1" x="5"/>
        <item m="1" x="16"/>
        <item h="1" m="1" x="25"/>
        <item m="1" x="3"/>
        <item m="1" x="2"/>
        <item m="1" x="4"/>
        <item x="0"/>
        <item t="default"/>
      </items>
    </pivotField>
    <pivotField axis="axisRow" showAll="0">
      <items count="13">
        <item x="1"/>
        <item x="2"/>
        <item x="3"/>
        <item x="4"/>
        <item x="5"/>
        <item x="6"/>
        <item x="7"/>
        <item x="8"/>
        <item sd="0" x="9"/>
        <item sd="0" x="10"/>
        <item x="0"/>
        <item x="11"/>
        <item t="default"/>
      </items>
    </pivotField>
    <pivotField dataField="1" showAll="0"/>
    <pivotField showAll="0"/>
  </pivotFields>
  <rowFields count="3">
    <field x="1"/>
    <field x="5"/>
    <field x="0"/>
  </rowFields>
  <rowItems count="3">
    <i>
      <x v="10"/>
    </i>
    <i r="1">
      <x v="10"/>
    </i>
    <i r="2">
      <x v="1"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um of balance" fld="4" baseField="0" baseItem="0"/>
    <dataField name="Sum of days_overdue" fld="6" baseField="0" baseItem="0"/>
  </dataFields>
  <formats count="2">
    <format dxfId="25">
      <pivotArea dataOnly="0" outline="0" fieldPosition="0">
        <references count="1">
          <reference field="4" count="0"/>
        </references>
      </pivotArea>
    </format>
    <format dxfId="24">
      <pivotArea dataOnly="0" outline="0" fieldPosition="0">
        <references count="1">
          <reference field="4294967294" count="1">
            <x v="1"/>
          </reference>
        </references>
      </pivotArea>
    </format>
  </formats>
  <conditionalFormats count="5">
    <conditionalFormat priority="5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4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0111A-6DE5-4ABC-AE27-875767976A48}" name="PivotTable19" cacheId="3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P3:R20" firstHeaderRow="0" firstDataRow="1" firstDataCol="1"/>
  <pivotFields count="5">
    <pivotField axis="axisRow" numFmtId="14" showAll="0" sortType="ascending">
      <items count="66">
        <item h="1" m="1" x="61"/>
        <item h="1" m="1" x="62"/>
        <item h="1" m="1" x="54"/>
        <item h="1" m="1" x="53"/>
        <item h="1" m="1" x="55"/>
        <item h="1" m="1" x="56"/>
        <item h="1" m="1" x="57"/>
        <item h="1" m="1" x="58"/>
        <item h="1" m="1" x="59"/>
        <item h="1" m="1" x="60"/>
        <item h="1" m="1" x="52"/>
        <item h="1" m="1" x="20"/>
        <item h="1" m="1" x="39"/>
        <item h="1" x="0"/>
        <item h="1" m="1" x="28"/>
        <item h="1" m="1" x="40"/>
        <item h="1" x="1"/>
        <item h="1" m="1" x="63"/>
        <item h="1" m="1" x="64"/>
        <item h="1" m="1" x="29"/>
        <item h="1" m="1" x="41"/>
        <item h="1" x="2"/>
        <item m="1" x="30"/>
        <item m="1" x="42"/>
        <item x="3"/>
        <item m="1" x="31"/>
        <item m="1" x="43"/>
        <item x="4"/>
        <item m="1" x="32"/>
        <item m="1" x="44"/>
        <item x="5"/>
        <item m="1" x="27"/>
        <item m="1" x="21"/>
        <item m="1" x="22"/>
        <item m="1" x="23"/>
        <item m="1" x="24"/>
        <item m="1" x="25"/>
        <item m="1" x="33"/>
        <item m="1" x="45"/>
        <item x="6"/>
        <item m="1" x="26"/>
        <item m="1" x="34"/>
        <item m="1" x="46"/>
        <item x="7"/>
        <item m="1" x="35"/>
        <item m="1" x="47"/>
        <item x="8"/>
        <item m="1" x="36"/>
        <item m="1" x="48"/>
        <item x="9"/>
        <item m="1" x="37"/>
        <item m="1" x="49"/>
        <item x="10"/>
        <item m="1" x="38"/>
        <item m="1" x="50"/>
        <item x="11"/>
        <item x="12"/>
        <item x="13"/>
        <item x="14"/>
        <item x="15"/>
        <item x="16"/>
        <item x="17"/>
        <item x="18"/>
        <item m="1" x="51"/>
        <item h="1" x="19"/>
        <item t="default"/>
      </items>
    </pivotField>
    <pivotField dataField="1" showAll="0"/>
    <pivotField dataField="1" showAll="0"/>
    <pivotField showAll="0"/>
    <pivotField showAll="0"/>
  </pivotFields>
  <rowFields count="1">
    <field x="0"/>
  </rowFields>
  <rowItems count="17">
    <i>
      <x v="24"/>
    </i>
    <i>
      <x v="27"/>
    </i>
    <i>
      <x v="30"/>
    </i>
    <i>
      <x v="39"/>
    </i>
    <i>
      <x v="43"/>
    </i>
    <i>
      <x v="46"/>
    </i>
    <i>
      <x v="49"/>
    </i>
    <i>
      <x v="52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rrears" fld="1" baseField="0" baseItem="0" numFmtId="166"/>
    <dataField name="Max of active_leases" fld="2" subtotal="max" baseField="0" baseItem="0"/>
  </dataFields>
  <formats count="2">
    <format dxfId="20">
      <pivotArea outline="0" collapsedLevelsAreSubtotals="1" fieldPosition="0"/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9"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F6B95-80CF-404B-9916-C94FFC412D35}" name="PivotTable16" cacheId="33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3:F5" firstHeaderRow="0" firstDataRow="1" firstDataCol="1" rowPageCount="1" colPageCount="1"/>
  <pivotFields count="8">
    <pivotField showAll="0"/>
    <pivotField dataField="1" showAll="0"/>
    <pivotField showAll="0"/>
    <pivotField axis="axisRow" showAll="0">
      <items count="3">
        <item sd="0" x="1"/>
        <item sd="0" x="0"/>
        <item t="default"/>
      </items>
    </pivotField>
    <pivotField axis="axisPage" dataField="1" multipleItemSelectionAllowed="1" showAll="0">
      <items count="40">
        <item m="1" x="38"/>
        <item h="1" x="1"/>
        <item m="1" x="7"/>
        <item m="1" x="37"/>
        <item m="1" x="24"/>
        <item m="1" x="23"/>
        <item m="1" x="10"/>
        <item m="1" x="22"/>
        <item m="1" x="6"/>
        <item m="1" x="36"/>
        <item m="1" x="33"/>
        <item m="1" x="35"/>
        <item m="1" x="34"/>
        <item h="1" m="1" x="32"/>
        <item h="1" m="1" x="19"/>
        <item m="1" x="31"/>
        <item m="1" x="9"/>
        <item m="1" x="20"/>
        <item h="1" m="1" x="30"/>
        <item h="1" m="1" x="29"/>
        <item m="1" x="12"/>
        <item m="1" x="17"/>
        <item h="1" m="1" x="28"/>
        <item h="1" m="1" x="21"/>
        <item h="1" m="1" x="18"/>
        <item m="1" x="8"/>
        <item h="1" m="1" x="15"/>
        <item m="1" x="13"/>
        <item h="1" m="1" x="14"/>
        <item m="1" x="26"/>
        <item m="1" x="27"/>
        <item m="1" x="11"/>
        <item m="1" x="5"/>
        <item m="1" x="16"/>
        <item h="1" m="1" x="25"/>
        <item h="1" m="1" x="3"/>
        <item h="1" m="1" x="2"/>
        <item h="1" m="1" x="4"/>
        <item x="0"/>
        <item t="default"/>
      </items>
    </pivotField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Count of tenant_name" fld="1" subtotal="count" baseField="0" baseItem="0"/>
    <dataField name="Sum of balance" fld="4" baseField="0" baseItem="0" numFmtId="166"/>
  </dataFields>
  <formats count="1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FBEAE-F245-4DB9-8894-1E09F7C0473A}" name="PivotTable15" cacheId="33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B6" firstHeaderRow="1" firstDataRow="1" firstDataCol="1"/>
  <pivotFields count="8"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6">
        <item x="1"/>
        <item m="1" x="4"/>
        <item x="0"/>
        <item m="1" x="2"/>
        <item m="1" x="3"/>
        <item t="default"/>
      </items>
    </pivotField>
  </pivotFields>
  <rowFields count="1">
    <field x="7"/>
  </rowFields>
  <rowItems count="3">
    <i>
      <x/>
    </i>
    <i>
      <x v="2"/>
    </i>
    <i t="grand">
      <x/>
    </i>
  </rowItems>
  <colItems count="1">
    <i/>
  </colItems>
  <dataFields count="1">
    <dataField name="Sum of balance" fld="4" baseField="0" baseItem="0" numFmtId="166"/>
  </dataFields>
  <formats count="1">
    <format dxfId="22">
      <pivotArea outline="0" collapsedLevelsAreSubtotals="1" fieldPosition="0"/>
    </format>
  </formats>
  <chartFormats count="5"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2EFCD-FD18-41AF-82DE-3542578D0AAF}" name="PivotTable17" cacheId="33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H3:K7" firstHeaderRow="1" firstDataRow="2" firstDataCol="1"/>
  <pivotFields count="8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multipleItemSelectionAllowed="1" showAll="0"/>
    <pivotField showAll="0"/>
    <pivotField showAll="0"/>
    <pivotField axis="axisCol" showAll="0" sortType="ascending">
      <items count="6">
        <item x="1"/>
        <item m="1" x="4"/>
        <item x="0"/>
        <item m="1" x="2"/>
        <item m="1"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2"/>
    </i>
    <i t="grand">
      <x/>
    </i>
  </colItems>
  <dataFields count="1">
    <dataField name="Sum of balance" fld="4" baseField="0" baseItem="0" numFmtId="166"/>
  </dataFields>
  <formats count="1">
    <format dxfId="23">
      <pivotArea outline="0" collapsedLevelsAreSubtotals="1" fieldPosition="0"/>
    </format>
  </formats>
  <chartFormats count="9"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2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2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4F107E1-0BF3-405A-9007-D582EC0C0B9A}" autoFormatId="16" applyNumberFormats="0" applyBorderFormats="0" applyFontFormats="0" applyPatternFormats="0" applyAlignmentFormats="0" applyWidthHeightFormats="0">
  <queryTableRefresh nextId="9">
    <queryTableFields count="8">
      <queryTableField id="1" name="lease_id" tableColumnId="1"/>
      <queryTableField id="2" name="tenant_name" tableColumnId="2"/>
      <queryTableField id="3" name="property_name" tableColumnId="3"/>
      <queryTableField id="4" name="manager_name" tableColumnId="4"/>
      <queryTableField id="5" name="balance" tableColumnId="5"/>
      <queryTableField id="6" name="unit" tableColumnId="6"/>
      <queryTableField id="7" name="days_overdue" tableColumnId="7"/>
      <queryTableField id="8" name="bucke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C57F3E-487F-4C9E-A659-8A9E10386B85}" autoFormatId="16" applyNumberFormats="0" applyBorderFormats="0" applyFontFormats="0" applyPatternFormats="0" applyAlignmentFormats="0" applyWidthHeightFormats="0">
  <queryTableRefresh nextId="6">
    <queryTableFields count="5">
      <queryTableField id="1" name="as_of_date" tableColumnId="1"/>
      <queryTableField id="2" name="total_arrears" tableColumnId="2"/>
      <queryTableField id="3" name="active_leases" tableColumnId="3"/>
      <queryTableField id="4" name="highest_bucket" tableColumnId="4"/>
      <queryTableField id="5" name="average_arrears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enants" displayName="tblTenants" ref="A1:K13">
  <autoFilter ref="A1:K13" xr:uid="{00000000-0009-0000-0100-000001000000}"/>
  <tableColumns count="11">
    <tableColumn id="1" xr3:uid="{00000000-0010-0000-0000-000001000000}" name="Lease_ID"/>
    <tableColumn id="2" xr3:uid="{00000000-0010-0000-0000-000002000000}" name="Tenant_Name"/>
    <tableColumn id="9" xr3:uid="{3B81029A-9093-4DEB-AC77-F6E63092F4D2}" name="Property_Name">
      <calculatedColumnFormula>"Block " &amp; LEFT(tblTenants[[#This Row],[Unit]],1)</calculatedColumnFormula>
    </tableColumn>
    <tableColumn id="3" xr3:uid="{00000000-0010-0000-0000-000003000000}" name="Unit"/>
    <tableColumn id="4" xr3:uid="{00000000-0010-0000-0000-000004000000}" name="Contact_Email"/>
    <tableColumn id="5" xr3:uid="{00000000-0010-0000-0000-000005000000}" name="phone"/>
    <tableColumn id="6" xr3:uid="{00000000-0010-0000-0000-000006000000}" name="Monthly_Rent"/>
    <tableColumn id="7" xr3:uid="{00000000-0010-0000-0000-000007000000}" name="Due_Day"/>
    <tableColumn id="8" xr3:uid="{00000000-0010-0000-0000-000008000000}" name="status"/>
    <tableColumn id="10" xr3:uid="{CFB3E338-8285-437D-B289-D5E75CBA6303}" name="Manager_Name">
      <calculatedColumnFormula>"Manager " &amp; LEFT(tblTenants[[#This Row],[Unit]],1)</calculatedColumnFormula>
    </tableColumn>
    <tableColumn id="11" xr3:uid="{018FF965-B8B4-4871-BAF2-8F0A17E9B9A1}" name="Move_Out_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Ledger" displayName="tblLedger" ref="A1:F284">
  <autoFilter ref="A1:F284" xr:uid="{00000000-0009-0000-0100-000002000000}">
    <filterColumn colId="1">
      <filters>
        <filter val="T011"/>
      </filters>
    </filterColumn>
    <filterColumn colId="2">
      <filters>
        <dateGroupItem year="2026" month="4" dateTimeGrouping="month"/>
        <dateGroupItem year="2026" month="5" dateTimeGrouping="month"/>
        <dateGroupItem year="2026" month="6" dateTimeGrouping="month"/>
        <dateGroupItem year="2026" month="7" dateTimeGrouping="month"/>
        <dateGroupItem year="2026" month="8" dateTimeGrouping="month"/>
        <dateGroupItem year="2026" month="9" dateTimeGrouping="month"/>
        <dateGroupItem year="2026" month="10" dateTimeGrouping="month"/>
        <dateGroupItem year="2026" month="11" dateTimeGrouping="month"/>
        <dateGroupItem year="2026" month="12" dateTimeGrouping="month"/>
      </filters>
    </filterColumn>
  </autoFilter>
  <sortState xmlns:xlrd2="http://schemas.microsoft.com/office/spreadsheetml/2017/richdata2" ref="A98:F178">
    <sortCondition ref="B1:B278"/>
  </sortState>
  <tableColumns count="6">
    <tableColumn id="1" xr3:uid="{00000000-0010-0000-0100-000001000000}" name="Entry_ID"/>
    <tableColumn id="2" xr3:uid="{00000000-0010-0000-0100-000002000000}" name="Lease_ID"/>
    <tableColumn id="3" xr3:uid="{00000000-0010-0000-0100-000003000000}" name="Entry_Date" dataDxfId="11"/>
    <tableColumn id="4" xr3:uid="{00000000-0010-0000-0100-000004000000}" name="Entry_Type"/>
    <tableColumn id="5" xr3:uid="{00000000-0010-0000-0100-000005000000}" name="Amount"/>
    <tableColumn id="6" xr3:uid="{00000000-0010-0000-0100-000006000000}" name="Refere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01AE8D-EEDF-4060-BE42-B0A3D292D634}" name="arrears_snapshot_latest" displayName="arrears_snapshot_latest" ref="A1:H13" tableType="queryTable" totalsRowShown="0">
  <autoFilter ref="A1:H13" xr:uid="{8401AE8D-EEDF-4060-BE42-B0A3D292D634}"/>
  <tableColumns count="8">
    <tableColumn id="1" xr3:uid="{2FCB3FCA-E159-4036-80A4-4AEE312B246A}" uniqueName="1" name="lease_id" queryTableFieldId="1" dataDxfId="18"/>
    <tableColumn id="2" xr3:uid="{8DEDCE8E-7961-466F-AF43-E0E0647E841F}" uniqueName="2" name="tenant_name" queryTableFieldId="2" dataDxfId="17"/>
    <tableColumn id="3" xr3:uid="{FBA667C1-85EB-45F3-B95B-7C641F6AD80B}" uniqueName="3" name="property_name" queryTableFieldId="3" dataDxfId="16"/>
    <tableColumn id="4" xr3:uid="{F4543037-0286-4BE3-A8A1-56FB7919EAED}" uniqueName="4" name="manager_name" queryTableFieldId="4" dataDxfId="15"/>
    <tableColumn id="5" xr3:uid="{C077798E-CA95-41EB-A0CD-379132A31651}" uniqueName="5" name="balance" queryTableFieldId="5"/>
    <tableColumn id="6" xr3:uid="{E71BF7CE-68D5-47B3-9D81-F418C784E6AF}" uniqueName="6" name="unit" queryTableFieldId="6" dataDxfId="14"/>
    <tableColumn id="7" xr3:uid="{1A895B95-5BAD-479B-B823-8F3D789F0C01}" uniqueName="7" name="days_overdue" queryTableFieldId="7" dataDxfId="13"/>
    <tableColumn id="8" xr3:uid="{4ADC440F-88EB-4403-A97B-3467CBD480D4}" uniqueName="8" name="bucket" queryTableFieldId="8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585E3C-9B34-4EC6-8748-9F9B29CCBC82}" name="arrears_history" displayName="arrears_history" ref="A1:E23" tableType="queryTable" totalsRowShown="0">
  <autoFilter ref="A1:E23" xr:uid="{71585E3C-9B34-4EC6-8748-9F9B29CCBC82}"/>
  <tableColumns count="5">
    <tableColumn id="1" xr3:uid="{C518058A-1CB6-44B3-A42C-07772FA4F547}" uniqueName="1" name="as_of_date" queryTableFieldId="1" dataDxfId="6"/>
    <tableColumn id="2" xr3:uid="{7E231CE5-962F-43DD-8661-71324AF4E542}" uniqueName="2" name="total_arrears" queryTableFieldId="2"/>
    <tableColumn id="3" xr3:uid="{B57D81DE-0A6A-4DF2-9224-2A8F17134B32}" uniqueName="3" name="active_leases" queryTableFieldId="3"/>
    <tableColumn id="4" xr3:uid="{E77FCABE-7A61-4BBE-A9E1-4B6EA858E3B2}" uniqueName="4" name="highest_bucket" queryTableFieldId="4" dataDxfId="5"/>
    <tableColumn id="5" xr3:uid="{71D546DA-C0CE-428D-9393-ADE815B19860}" uniqueName="5" name="average_arrear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showGridLines="0" tabSelected="1" zoomScale="70" zoomScaleNormal="70" workbookViewId="0">
      <pane ySplit="3" topLeftCell="A4" activePane="bottomLeft" state="frozen"/>
      <selection pane="bottomLeft" activeCell="H6" sqref="H6"/>
    </sheetView>
  </sheetViews>
  <sheetFormatPr defaultRowHeight="15" x14ac:dyDescent="0.25"/>
  <cols>
    <col min="1" max="6" width="12" customWidth="1"/>
    <col min="8" max="8" width="26.5703125" bestFit="1" customWidth="1"/>
    <col min="9" max="9" width="19.5703125" bestFit="1" customWidth="1"/>
    <col min="10" max="10" width="26.7109375" bestFit="1" customWidth="1"/>
    <col min="11" max="11" width="11.42578125" bestFit="1" customWidth="1"/>
    <col min="12" max="14" width="12.42578125" bestFit="1" customWidth="1"/>
    <col min="15" max="15" width="12.28515625" customWidth="1"/>
    <col min="16" max="20" width="4.5703125" bestFit="1" customWidth="1"/>
    <col min="21" max="21" width="20.140625" bestFit="1" customWidth="1"/>
    <col min="22" max="22" width="25.85546875" bestFit="1" customWidth="1"/>
  </cols>
  <sheetData>
    <row r="1" spans="1:13" ht="23.25" x14ac:dyDescent="0.35">
      <c r="A1" s="1" t="s">
        <v>0</v>
      </c>
    </row>
    <row r="2" spans="1:13" x14ac:dyDescent="0.25">
      <c r="A2" s="2" t="s">
        <v>177</v>
      </c>
    </row>
    <row r="3" spans="1:13" x14ac:dyDescent="0.25">
      <c r="H3" s="7" t="s">
        <v>152</v>
      </c>
      <c r="I3" s="20">
        <v>100</v>
      </c>
    </row>
    <row r="4" spans="1:13" ht="15.75" x14ac:dyDescent="0.25">
      <c r="A4" s="18" t="s">
        <v>1</v>
      </c>
      <c r="B4" s="13"/>
      <c r="C4" s="13"/>
      <c r="D4" s="18" t="s">
        <v>2</v>
      </c>
      <c r="E4" s="13"/>
      <c r="F4" s="13"/>
      <c r="H4" s="3" t="s">
        <v>6</v>
      </c>
      <c r="I4" s="4"/>
      <c r="J4" s="4"/>
      <c r="K4" s="4"/>
    </row>
    <row r="5" spans="1:13" ht="18.75" x14ac:dyDescent="0.25">
      <c r="A5" s="16">
        <f>MAX(arrears_history[as_of_date])</f>
        <v>46383</v>
      </c>
      <c r="B5" s="13"/>
      <c r="C5" s="13"/>
      <c r="D5" s="14">
        <f>SUM(arrears_snapshot_latest[balance])</f>
        <v>100</v>
      </c>
      <c r="E5" s="15"/>
      <c r="F5" s="15"/>
      <c r="H5" s="7" t="s">
        <v>163</v>
      </c>
      <c r="I5" t="s">
        <v>166</v>
      </c>
      <c r="J5" s="5" t="s">
        <v>172</v>
      </c>
    </row>
    <row r="6" spans="1:13" x14ac:dyDescent="0.25">
      <c r="H6" s="9" t="s">
        <v>61</v>
      </c>
      <c r="I6" s="10">
        <v>100</v>
      </c>
      <c r="J6" s="5">
        <v>26</v>
      </c>
    </row>
    <row r="7" spans="1:13" x14ac:dyDescent="0.25">
      <c r="A7" s="18" t="s">
        <v>3</v>
      </c>
      <c r="B7" s="13"/>
      <c r="C7" s="13"/>
      <c r="D7" s="18" t="s">
        <v>4</v>
      </c>
      <c r="E7" s="13"/>
      <c r="F7" s="13"/>
      <c r="H7" s="21" t="s">
        <v>167</v>
      </c>
      <c r="I7" s="10">
        <v>100</v>
      </c>
      <c r="J7" s="5">
        <v>26</v>
      </c>
    </row>
    <row r="8" spans="1:13" ht="18.75" x14ac:dyDescent="0.25">
      <c r="A8" s="12">
        <f>COUNTIF(arrears_snapshot_latest[balance],"&gt;0")</f>
        <v>1</v>
      </c>
      <c r="B8" s="13"/>
      <c r="C8" s="13"/>
      <c r="D8" s="17">
        <f>IFERROR(COUNTIF(arrears_snapshot_latest[balance],"&gt;0")/COUNTA(arrears_snapshot_latest[lease_id]),0)</f>
        <v>8.3333333333333329E-2</v>
      </c>
      <c r="E8" s="13"/>
      <c r="F8" s="13"/>
      <c r="H8" s="22" t="s">
        <v>60</v>
      </c>
      <c r="I8" s="10">
        <v>100</v>
      </c>
      <c r="J8" s="5">
        <v>26</v>
      </c>
    </row>
    <row r="10" spans="1:13" x14ac:dyDescent="0.25">
      <c r="A10" s="18" t="s">
        <v>5</v>
      </c>
      <c r="B10" s="13"/>
      <c r="C10" s="13"/>
      <c r="M10" s="6"/>
    </row>
    <row r="11" spans="1:13" ht="18.75" x14ac:dyDescent="0.25">
      <c r="A11" s="12">
        <f>IFERROR(AVERAGEIF(arrears_snapshot_latest[balance],"&gt;0",arrears_snapshot_latest[days_overdue]),0)</f>
        <v>26</v>
      </c>
      <c r="B11" s="13"/>
      <c r="C11" s="13"/>
    </row>
    <row r="14" spans="1:13" x14ac:dyDescent="0.25">
      <c r="D14" s="4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</sheetData>
  <mergeCells count="10">
    <mergeCell ref="D4:F4"/>
    <mergeCell ref="A7:C7"/>
    <mergeCell ref="D7:F7"/>
    <mergeCell ref="A4:C4"/>
    <mergeCell ref="A10:C10"/>
    <mergeCell ref="A11:C11"/>
    <mergeCell ref="D5:F5"/>
    <mergeCell ref="A5:C5"/>
    <mergeCell ref="D8:F8"/>
    <mergeCell ref="A8:C8"/>
  </mergeCells>
  <conditionalFormatting pivot="1" sqref="I6:I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{3BA8C782-18B8-453F-BDBB-D380CA4D74B6}</x14:id>
        </ext>
      </extLst>
    </cfRule>
  </conditionalFormatting>
  <conditionalFormatting pivot="1" sqref="J6:J8">
    <cfRule type="cellIs" dxfId="10" priority="4" operator="greaterThan">
      <formula>59</formula>
    </cfRule>
  </conditionalFormatting>
  <conditionalFormatting pivot="1" sqref="J6:J8">
    <cfRule type="cellIs" dxfId="9" priority="3" operator="between">
      <formula>8</formula>
      <formula>30</formula>
    </cfRule>
  </conditionalFormatting>
  <conditionalFormatting pivot="1" sqref="J6:J8">
    <cfRule type="cellIs" dxfId="8" priority="2" operator="between">
      <formula>30</formula>
      <formula>60</formula>
    </cfRule>
  </conditionalFormatting>
  <conditionalFormatting pivot="1" sqref="J6:J8">
    <cfRule type="cellIs" dxfId="7" priority="1" operator="between">
      <formula>0</formula>
      <formula>7</formula>
    </cfRule>
  </conditionalFormatting>
  <pageMargins left="0.75" right="0.75" top="1" bottom="1" header="0.5" footer="0.5"/>
  <pageSetup paperSize="9" scale="29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BA8C782-18B8-453F-BDBB-D380CA4D74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I6:I8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11.140625" bestFit="1" customWidth="1"/>
    <col min="2" max="2" width="15.85546875" bestFit="1" customWidth="1"/>
    <col min="3" max="3" width="15.85546875" customWidth="1"/>
    <col min="4" max="4" width="7.140625" bestFit="1" customWidth="1"/>
    <col min="5" max="5" width="24.140625" bestFit="1" customWidth="1"/>
    <col min="6" max="6" width="13.5703125" bestFit="1" customWidth="1"/>
    <col min="7" max="7" width="16.140625" bestFit="1" customWidth="1"/>
    <col min="8" max="8" width="11.140625" bestFit="1" customWidth="1"/>
    <col min="10" max="10" width="17.5703125" bestFit="1" customWidth="1"/>
  </cols>
  <sheetData>
    <row r="1" spans="1:11" x14ac:dyDescent="0.25">
      <c r="A1" t="s">
        <v>141</v>
      </c>
      <c r="B1" t="s">
        <v>136</v>
      </c>
      <c r="C1" t="s">
        <v>146</v>
      </c>
      <c r="D1" t="s">
        <v>7</v>
      </c>
      <c r="E1" t="s">
        <v>139</v>
      </c>
      <c r="F1" t="s">
        <v>8</v>
      </c>
      <c r="G1" t="s">
        <v>137</v>
      </c>
      <c r="H1" t="s">
        <v>138</v>
      </c>
      <c r="I1" t="s">
        <v>9</v>
      </c>
      <c r="J1" t="s">
        <v>147</v>
      </c>
      <c r="K1" t="s">
        <v>423</v>
      </c>
    </row>
    <row r="2" spans="1:11" x14ac:dyDescent="0.25">
      <c r="A2" t="s">
        <v>10</v>
      </c>
      <c r="B2" t="s">
        <v>11</v>
      </c>
      <c r="C2" t="str">
        <f>"Block " &amp; LEFT(tblTenants[[#This Row],[Unit]],1)</f>
        <v>Block A</v>
      </c>
      <c r="D2" t="s">
        <v>12</v>
      </c>
      <c r="E2" t="s">
        <v>13</v>
      </c>
      <c r="F2" t="s">
        <v>14</v>
      </c>
      <c r="G2">
        <v>4500</v>
      </c>
      <c r="H2">
        <v>1</v>
      </c>
      <c r="I2" t="s">
        <v>15</v>
      </c>
      <c r="J2" t="str">
        <f>"Manager " &amp; LEFT(tblTenants[[#This Row],[Unit]],1)</f>
        <v>Manager A</v>
      </c>
    </row>
    <row r="3" spans="1:11" x14ac:dyDescent="0.25">
      <c r="A3" t="s">
        <v>16</v>
      </c>
      <c r="B3" t="s">
        <v>17</v>
      </c>
      <c r="C3" t="str">
        <f>"Block " &amp; LEFT(tblTenants[[#This Row],[Unit]],1)</f>
        <v>Block A</v>
      </c>
      <c r="D3" t="s">
        <v>18</v>
      </c>
      <c r="E3" t="s">
        <v>19</v>
      </c>
      <c r="F3" t="s">
        <v>20</v>
      </c>
      <c r="G3">
        <v>6000</v>
      </c>
      <c r="H3">
        <v>1</v>
      </c>
      <c r="I3" t="s">
        <v>15</v>
      </c>
      <c r="J3" t="str">
        <f>"Manager " &amp; LEFT(tblTenants[[#This Row],[Unit]],1)</f>
        <v>Manager A</v>
      </c>
    </row>
    <row r="4" spans="1:11" x14ac:dyDescent="0.25">
      <c r="A4" t="s">
        <v>21</v>
      </c>
      <c r="B4" t="s">
        <v>22</v>
      </c>
      <c r="C4" t="str">
        <f>"Block " &amp; LEFT(tblTenants[[#This Row],[Unit]],1)</f>
        <v>Block A</v>
      </c>
      <c r="D4" t="s">
        <v>23</v>
      </c>
      <c r="E4" t="s">
        <v>24</v>
      </c>
      <c r="F4" t="s">
        <v>25</v>
      </c>
      <c r="G4">
        <v>5200</v>
      </c>
      <c r="H4">
        <v>1</v>
      </c>
      <c r="I4" t="s">
        <v>15</v>
      </c>
      <c r="J4" t="str">
        <f>"Manager " &amp; LEFT(tblTenants[[#This Row],[Unit]],1)</f>
        <v>Manager A</v>
      </c>
    </row>
    <row r="5" spans="1:11" x14ac:dyDescent="0.25">
      <c r="A5" t="s">
        <v>26</v>
      </c>
      <c r="B5" t="s">
        <v>27</v>
      </c>
      <c r="C5" t="str">
        <f>"Block " &amp; LEFT(tblTenants[[#This Row],[Unit]],1)</f>
        <v>Block A</v>
      </c>
      <c r="D5" t="s">
        <v>28</v>
      </c>
      <c r="E5" t="s">
        <v>29</v>
      </c>
      <c r="F5" t="s">
        <v>30</v>
      </c>
      <c r="G5">
        <v>4500</v>
      </c>
      <c r="H5">
        <v>1</v>
      </c>
      <c r="I5" t="s">
        <v>15</v>
      </c>
      <c r="J5" t="str">
        <f>"Manager " &amp; LEFT(tblTenants[[#This Row],[Unit]],1)</f>
        <v>Manager A</v>
      </c>
    </row>
    <row r="6" spans="1:11" x14ac:dyDescent="0.25">
      <c r="A6" t="s">
        <v>31</v>
      </c>
      <c r="B6" t="s">
        <v>32</v>
      </c>
      <c r="C6" t="str">
        <f>"Block " &amp; LEFT(tblTenants[[#This Row],[Unit]],1)</f>
        <v>Block A</v>
      </c>
      <c r="D6" t="s">
        <v>33</v>
      </c>
      <c r="E6" t="s">
        <v>34</v>
      </c>
      <c r="F6" t="s">
        <v>35</v>
      </c>
      <c r="G6">
        <v>4500</v>
      </c>
      <c r="H6">
        <v>1</v>
      </c>
      <c r="I6" t="s">
        <v>15</v>
      </c>
      <c r="J6" t="str">
        <f>"Manager " &amp; LEFT(tblTenants[[#This Row],[Unit]],1)</f>
        <v>Manager A</v>
      </c>
    </row>
    <row r="7" spans="1:11" x14ac:dyDescent="0.25">
      <c r="A7" t="s">
        <v>36</v>
      </c>
      <c r="B7" t="s">
        <v>37</v>
      </c>
      <c r="C7" t="str">
        <f>"Block " &amp; LEFT(tblTenants[[#This Row],[Unit]],1)</f>
        <v>Block A</v>
      </c>
      <c r="D7" t="s">
        <v>38</v>
      </c>
      <c r="E7" t="s">
        <v>39</v>
      </c>
      <c r="F7" t="s">
        <v>40</v>
      </c>
      <c r="G7">
        <v>6800</v>
      </c>
      <c r="H7">
        <v>1</v>
      </c>
      <c r="I7" t="s">
        <v>15</v>
      </c>
      <c r="J7" t="str">
        <f>"Manager " &amp; LEFT(tblTenants[[#This Row],[Unit]],1)</f>
        <v>Manager A</v>
      </c>
    </row>
    <row r="8" spans="1:11" x14ac:dyDescent="0.25">
      <c r="A8" t="s">
        <v>41</v>
      </c>
      <c r="B8" t="s">
        <v>42</v>
      </c>
      <c r="C8" t="str">
        <f>"Block " &amp; LEFT(tblTenants[[#This Row],[Unit]],1)</f>
        <v>Block A</v>
      </c>
      <c r="D8" t="s">
        <v>43</v>
      </c>
      <c r="E8" t="s">
        <v>44</v>
      </c>
      <c r="F8" t="s">
        <v>45</v>
      </c>
      <c r="G8">
        <v>4500</v>
      </c>
      <c r="H8">
        <v>1</v>
      </c>
      <c r="I8" t="s">
        <v>15</v>
      </c>
      <c r="J8" t="str">
        <f>"Manager " &amp; LEFT(tblTenants[[#This Row],[Unit]],1)</f>
        <v>Manager A</v>
      </c>
    </row>
    <row r="9" spans="1:11" x14ac:dyDescent="0.25">
      <c r="A9" t="s">
        <v>46</v>
      </c>
      <c r="B9" t="s">
        <v>47</v>
      </c>
      <c r="C9" t="str">
        <f>"Block " &amp; LEFT(tblTenants[[#This Row],[Unit]],1)</f>
        <v>Block A</v>
      </c>
      <c r="D9" t="s">
        <v>48</v>
      </c>
      <c r="E9" t="s">
        <v>49</v>
      </c>
      <c r="F9" t="s">
        <v>50</v>
      </c>
      <c r="G9">
        <v>5200</v>
      </c>
      <c r="H9">
        <v>1</v>
      </c>
      <c r="I9" t="s">
        <v>15</v>
      </c>
      <c r="J9" t="str">
        <f>"Manager " &amp; LEFT(tblTenants[[#This Row],[Unit]],1)</f>
        <v>Manager A</v>
      </c>
    </row>
    <row r="10" spans="1:11" x14ac:dyDescent="0.25">
      <c r="A10" t="s">
        <v>51</v>
      </c>
      <c r="B10" t="s">
        <v>52</v>
      </c>
      <c r="C10" t="str">
        <f>"Block " &amp; LEFT(tblTenants[[#This Row],[Unit]],1)</f>
        <v>Block A</v>
      </c>
      <c r="D10" t="s">
        <v>53</v>
      </c>
      <c r="E10" t="s">
        <v>54</v>
      </c>
      <c r="F10" t="s">
        <v>55</v>
      </c>
      <c r="G10">
        <v>4500</v>
      </c>
      <c r="H10">
        <v>1</v>
      </c>
      <c r="I10" t="s">
        <v>15</v>
      </c>
      <c r="J10" t="str">
        <f>"Manager " &amp; LEFT(tblTenants[[#This Row],[Unit]],1)</f>
        <v>Manager A</v>
      </c>
    </row>
    <row r="11" spans="1:11" x14ac:dyDescent="0.25">
      <c r="A11" t="s">
        <v>56</v>
      </c>
      <c r="B11" t="s">
        <v>57</v>
      </c>
      <c r="C11" t="str">
        <f>"Block " &amp; LEFT(tblTenants[[#This Row],[Unit]],1)</f>
        <v>Block B</v>
      </c>
      <c r="D11" t="s">
        <v>171</v>
      </c>
      <c r="E11" t="s">
        <v>58</v>
      </c>
      <c r="F11" t="s">
        <v>59</v>
      </c>
      <c r="G11">
        <v>5200</v>
      </c>
      <c r="H11">
        <v>1</v>
      </c>
      <c r="I11" t="s">
        <v>15</v>
      </c>
      <c r="J11" t="str">
        <f>"Manager " &amp; LEFT(tblTenants[[#This Row],[Unit]],1)</f>
        <v>Manager B</v>
      </c>
    </row>
    <row r="12" spans="1:11" x14ac:dyDescent="0.25">
      <c r="A12" t="s">
        <v>60</v>
      </c>
      <c r="B12" t="s">
        <v>61</v>
      </c>
      <c r="C12" t="str">
        <f>"Block " &amp; LEFT(tblTenants[[#This Row],[Unit]],1)</f>
        <v>Block B</v>
      </c>
      <c r="D12" t="s">
        <v>167</v>
      </c>
      <c r="E12" t="s">
        <v>62</v>
      </c>
      <c r="F12" t="s">
        <v>63</v>
      </c>
      <c r="G12">
        <v>6800</v>
      </c>
      <c r="H12">
        <v>1</v>
      </c>
      <c r="I12" t="s">
        <v>15</v>
      </c>
      <c r="J12" t="str">
        <f>"Manager " &amp; LEFT(tblTenants[[#This Row],[Unit]],1)</f>
        <v>Manager B</v>
      </c>
    </row>
    <row r="13" spans="1:11" x14ac:dyDescent="0.25">
      <c r="A13" t="s">
        <v>64</v>
      </c>
      <c r="B13" t="s">
        <v>65</v>
      </c>
      <c r="C13" t="str">
        <f>"Block " &amp; LEFT(tblTenants[[#This Row],[Unit]],1)</f>
        <v>Block B</v>
      </c>
      <c r="D13" t="s">
        <v>168</v>
      </c>
      <c r="E13" t="s">
        <v>66</v>
      </c>
      <c r="F13" t="s">
        <v>67</v>
      </c>
      <c r="G13">
        <v>6800</v>
      </c>
      <c r="H13">
        <v>1</v>
      </c>
      <c r="I13" t="s">
        <v>15</v>
      </c>
      <c r="J13" t="str">
        <f>"Manager " &amp; LEFT(tblTenants[[#This Row],[Unit]],1)</f>
        <v>Manager B</v>
      </c>
    </row>
  </sheetData>
  <phoneticPr fontId="6" type="noConversion"/>
  <dataValidations count="12">
    <dataValidation type="custom" allowBlank="1" showInputMessage="1" showErrorMessage="1" sqref="A1" xr:uid="{4FFAA27D-F044-4F92-B84F-93E59F8D1D25}">
      <formula1>"Lease_ID"</formula1>
    </dataValidation>
    <dataValidation type="custom" allowBlank="1" showInputMessage="1" showErrorMessage="1" sqref="B1" xr:uid="{B08C5959-D6F0-4F48-A3AA-571DC83BDEB3}">
      <formula1>"Tenant_Name"</formula1>
    </dataValidation>
    <dataValidation type="custom" allowBlank="1" showInputMessage="1" showErrorMessage="1" sqref="C1" xr:uid="{C1F9CA1C-B55D-41BB-904E-4C16547DE1E3}">
      <formula1>"Property_Name"</formula1>
    </dataValidation>
    <dataValidation type="custom" allowBlank="1" showInputMessage="1" showErrorMessage="1" sqref="D1" xr:uid="{4F8EFB65-DB60-4DFC-A9B7-32C123ABDE11}">
      <formula1>"Unit"</formula1>
    </dataValidation>
    <dataValidation type="custom" allowBlank="1" showInputMessage="1" showErrorMessage="1" sqref="E1" xr:uid="{A5F8A794-4B68-4AE7-A440-5FF44DDB5CF1}">
      <formula1>"Contact_Email"</formula1>
    </dataValidation>
    <dataValidation type="custom" allowBlank="1" showInputMessage="1" showErrorMessage="1" sqref="F1" xr:uid="{A9B2B39B-D735-4B08-8268-1E695CB7140F}">
      <formula1>"phone"</formula1>
    </dataValidation>
    <dataValidation type="custom" allowBlank="1" showInputMessage="1" showErrorMessage="1" sqref="G1" xr:uid="{3556B84A-8F9B-43CF-8ADD-7760EFDBB75D}">
      <formula1>"Monthly_Rent"</formula1>
    </dataValidation>
    <dataValidation type="custom" allowBlank="1" showInputMessage="1" showErrorMessage="1" sqref="H1" xr:uid="{3D9CF545-D243-4B52-87DC-304C297090EE}">
      <formula1>"Due_Day"</formula1>
    </dataValidation>
    <dataValidation type="custom" allowBlank="1" showInputMessage="1" showErrorMessage="1" sqref="I1" xr:uid="{E7BF9F21-5EF2-4CBA-B7E9-E7624588CAB0}">
      <formula1>"status"</formula1>
    </dataValidation>
    <dataValidation type="custom" allowBlank="1" showInputMessage="1" showErrorMessage="1" sqref="J1" xr:uid="{E2923F46-3EFC-44B7-8612-64A575C56200}">
      <formula1>"Manager_Name"</formula1>
    </dataValidation>
    <dataValidation type="list" allowBlank="1" showInputMessage="1" showErrorMessage="1" sqref="I2:I13" xr:uid="{21AA3B73-64B9-454E-9E82-F0450BD0646C}">
      <formula1>"ACTIVE, INACTIVE"</formula1>
    </dataValidation>
    <dataValidation type="decimal" operator="greaterThan" allowBlank="1" showInputMessage="1" showErrorMessage="1" sqref="G2:G13" xr:uid="{4ED150C2-7C5F-4B2A-A408-81B1A2AD42B3}">
      <formula1>0</formula1>
    </dataValidation>
  </dataValidations>
  <pageMargins left="0.75" right="0.75" top="1" bottom="1" header="0.5" footer="0.5"/>
  <ignoredErrors>
    <ignoredError sqref="C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4"/>
  <sheetViews>
    <sheetView workbookViewId="0">
      <pane ySplit="1" topLeftCell="A81" activePane="bottomLeft" state="frozen"/>
      <selection pane="bottomLeft" activeCell="C289" sqref="C289"/>
    </sheetView>
  </sheetViews>
  <sheetFormatPr defaultRowHeight="15" x14ac:dyDescent="0.25"/>
  <cols>
    <col min="1" max="1" width="10.7109375" bestFit="1" customWidth="1"/>
    <col min="2" max="2" width="11.140625" bestFit="1" customWidth="1"/>
    <col min="3" max="3" width="13" bestFit="1" customWidth="1"/>
    <col min="4" max="4" width="13.140625" bestFit="1" customWidth="1"/>
    <col min="5" max="5" width="10.42578125" bestFit="1" customWidth="1"/>
    <col min="6" max="6" width="30.140625" bestFit="1" customWidth="1"/>
  </cols>
  <sheetData>
    <row r="1" spans="1:6" x14ac:dyDescent="0.2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 spans="1:6" hidden="1" x14ac:dyDescent="0.25">
      <c r="A2" t="s">
        <v>68</v>
      </c>
      <c r="B2" t="s">
        <v>10</v>
      </c>
      <c r="C2" s="23">
        <v>46023</v>
      </c>
      <c r="D2" t="s">
        <v>69</v>
      </c>
      <c r="E2">
        <v>4500</v>
      </c>
      <c r="F2" t="s">
        <v>71</v>
      </c>
    </row>
    <row r="3" spans="1:6" hidden="1" x14ac:dyDescent="0.25">
      <c r="A3" t="s">
        <v>86</v>
      </c>
      <c r="B3" t="s">
        <v>10</v>
      </c>
      <c r="C3" s="23">
        <v>46023</v>
      </c>
      <c r="D3" t="s">
        <v>75</v>
      </c>
      <c r="E3">
        <v>4500</v>
      </c>
      <c r="F3" t="s">
        <v>77</v>
      </c>
    </row>
    <row r="4" spans="1:6" hidden="1" x14ac:dyDescent="0.25">
      <c r="A4" t="s">
        <v>70</v>
      </c>
      <c r="B4" t="s">
        <v>16</v>
      </c>
      <c r="C4" s="23">
        <v>46023</v>
      </c>
      <c r="D4" t="s">
        <v>69</v>
      </c>
      <c r="E4">
        <v>6000</v>
      </c>
      <c r="F4" t="s">
        <v>71</v>
      </c>
    </row>
    <row r="5" spans="1:6" hidden="1" x14ac:dyDescent="0.25">
      <c r="A5" t="s">
        <v>87</v>
      </c>
      <c r="B5" t="s">
        <v>16</v>
      </c>
      <c r="C5" s="23">
        <v>46023</v>
      </c>
      <c r="D5" t="s">
        <v>75</v>
      </c>
      <c r="E5">
        <v>6000</v>
      </c>
      <c r="F5" t="s">
        <v>77</v>
      </c>
    </row>
    <row r="6" spans="1:6" hidden="1" x14ac:dyDescent="0.25">
      <c r="A6" t="s">
        <v>72</v>
      </c>
      <c r="B6" t="s">
        <v>21</v>
      </c>
      <c r="C6" s="23">
        <v>46023</v>
      </c>
      <c r="D6" t="s">
        <v>69</v>
      </c>
      <c r="E6">
        <v>5200</v>
      </c>
      <c r="F6" t="s">
        <v>71</v>
      </c>
    </row>
    <row r="7" spans="1:6" hidden="1" x14ac:dyDescent="0.25">
      <c r="A7" t="s">
        <v>88</v>
      </c>
      <c r="B7" t="s">
        <v>21</v>
      </c>
      <c r="C7" s="23">
        <v>46023</v>
      </c>
      <c r="D7" t="s">
        <v>75</v>
      </c>
      <c r="E7">
        <v>5200</v>
      </c>
      <c r="F7" t="s">
        <v>77</v>
      </c>
    </row>
    <row r="8" spans="1:6" hidden="1" x14ac:dyDescent="0.25">
      <c r="A8" t="s">
        <v>74</v>
      </c>
      <c r="B8" t="s">
        <v>26</v>
      </c>
      <c r="C8" s="23">
        <v>46023</v>
      </c>
      <c r="D8" t="s">
        <v>69</v>
      </c>
      <c r="E8">
        <v>4500</v>
      </c>
      <c r="F8" t="s">
        <v>71</v>
      </c>
    </row>
    <row r="9" spans="1:6" hidden="1" x14ac:dyDescent="0.25">
      <c r="A9" t="s">
        <v>89</v>
      </c>
      <c r="B9" t="s">
        <v>26</v>
      </c>
      <c r="C9" s="23">
        <v>46023</v>
      </c>
      <c r="D9" t="s">
        <v>75</v>
      </c>
      <c r="E9">
        <v>4500</v>
      </c>
      <c r="F9" t="s">
        <v>77</v>
      </c>
    </row>
    <row r="10" spans="1:6" hidden="1" x14ac:dyDescent="0.25">
      <c r="A10" t="s">
        <v>76</v>
      </c>
      <c r="B10" t="s">
        <v>31</v>
      </c>
      <c r="C10" s="23">
        <v>46023</v>
      </c>
      <c r="D10" t="s">
        <v>69</v>
      </c>
      <c r="E10">
        <v>4500</v>
      </c>
      <c r="F10" t="s">
        <v>71</v>
      </c>
    </row>
    <row r="11" spans="1:6" hidden="1" x14ac:dyDescent="0.25">
      <c r="A11" t="s">
        <v>90</v>
      </c>
      <c r="B11" t="s">
        <v>31</v>
      </c>
      <c r="C11" s="23">
        <v>46023</v>
      </c>
      <c r="D11" t="s">
        <v>75</v>
      </c>
      <c r="E11">
        <v>4500</v>
      </c>
      <c r="F11" t="s">
        <v>77</v>
      </c>
    </row>
    <row r="12" spans="1:6" hidden="1" x14ac:dyDescent="0.25">
      <c r="A12" t="s">
        <v>78</v>
      </c>
      <c r="B12" t="s">
        <v>36</v>
      </c>
      <c r="C12" s="23">
        <v>46023</v>
      </c>
      <c r="D12" t="s">
        <v>69</v>
      </c>
      <c r="E12">
        <v>6800</v>
      </c>
      <c r="F12" t="s">
        <v>71</v>
      </c>
    </row>
    <row r="13" spans="1:6" hidden="1" x14ac:dyDescent="0.25">
      <c r="A13" t="s">
        <v>91</v>
      </c>
      <c r="B13" t="s">
        <v>36</v>
      </c>
      <c r="C13" s="23">
        <v>46023</v>
      </c>
      <c r="D13" t="s">
        <v>75</v>
      </c>
      <c r="E13">
        <v>6800</v>
      </c>
      <c r="F13" t="s">
        <v>77</v>
      </c>
    </row>
    <row r="14" spans="1:6" hidden="1" x14ac:dyDescent="0.25">
      <c r="A14" t="s">
        <v>80</v>
      </c>
      <c r="B14" t="s">
        <v>41</v>
      </c>
      <c r="C14" s="23">
        <v>46023</v>
      </c>
      <c r="D14" t="s">
        <v>69</v>
      </c>
      <c r="E14">
        <v>4500</v>
      </c>
      <c r="F14" t="s">
        <v>71</v>
      </c>
    </row>
    <row r="15" spans="1:6" hidden="1" x14ac:dyDescent="0.25">
      <c r="A15" t="s">
        <v>92</v>
      </c>
      <c r="B15" t="s">
        <v>41</v>
      </c>
      <c r="C15" s="23">
        <v>46024</v>
      </c>
      <c r="D15" t="s">
        <v>75</v>
      </c>
      <c r="E15">
        <v>4500</v>
      </c>
      <c r="F15" t="s">
        <v>77</v>
      </c>
    </row>
    <row r="16" spans="1:6" hidden="1" x14ac:dyDescent="0.25">
      <c r="A16" t="s">
        <v>81</v>
      </c>
      <c r="B16" t="s">
        <v>46</v>
      </c>
      <c r="C16" s="23">
        <v>46023</v>
      </c>
      <c r="D16" t="s">
        <v>69</v>
      </c>
      <c r="E16">
        <v>5200</v>
      </c>
      <c r="F16" t="s">
        <v>71</v>
      </c>
    </row>
    <row r="17" spans="1:6" hidden="1" x14ac:dyDescent="0.25">
      <c r="A17" t="s">
        <v>93</v>
      </c>
      <c r="B17" t="s">
        <v>46</v>
      </c>
      <c r="C17" s="23">
        <v>46024</v>
      </c>
      <c r="D17" t="s">
        <v>75</v>
      </c>
      <c r="E17">
        <v>5200</v>
      </c>
      <c r="F17" t="s">
        <v>77</v>
      </c>
    </row>
    <row r="18" spans="1:6" hidden="1" x14ac:dyDescent="0.25">
      <c r="A18" t="s">
        <v>82</v>
      </c>
      <c r="B18" t="s">
        <v>51</v>
      </c>
      <c r="C18" s="23">
        <v>46023</v>
      </c>
      <c r="D18" t="s">
        <v>69</v>
      </c>
      <c r="E18">
        <v>4500</v>
      </c>
      <c r="F18" t="s">
        <v>71</v>
      </c>
    </row>
    <row r="19" spans="1:6" hidden="1" x14ac:dyDescent="0.25">
      <c r="A19" t="s">
        <v>94</v>
      </c>
      <c r="B19" t="s">
        <v>51</v>
      </c>
      <c r="C19" s="23">
        <v>46024</v>
      </c>
      <c r="D19" t="s">
        <v>75</v>
      </c>
      <c r="E19">
        <v>4500</v>
      </c>
      <c r="F19" t="s">
        <v>77</v>
      </c>
    </row>
    <row r="20" spans="1:6" hidden="1" x14ac:dyDescent="0.25">
      <c r="A20" t="s">
        <v>83</v>
      </c>
      <c r="B20" t="s">
        <v>56</v>
      </c>
      <c r="C20" s="23">
        <v>46023</v>
      </c>
      <c r="D20" t="s">
        <v>69</v>
      </c>
      <c r="E20">
        <v>5200</v>
      </c>
      <c r="F20" t="s">
        <v>71</v>
      </c>
    </row>
    <row r="21" spans="1:6" hidden="1" x14ac:dyDescent="0.25">
      <c r="A21" t="s">
        <v>95</v>
      </c>
      <c r="B21" t="s">
        <v>56</v>
      </c>
      <c r="C21" s="23">
        <v>46024</v>
      </c>
      <c r="D21" t="s">
        <v>75</v>
      </c>
      <c r="E21">
        <v>5200</v>
      </c>
      <c r="F21" t="s">
        <v>77</v>
      </c>
    </row>
    <row r="22" spans="1:6" hidden="1" x14ac:dyDescent="0.25">
      <c r="A22" t="s">
        <v>84</v>
      </c>
      <c r="B22" t="s">
        <v>60</v>
      </c>
      <c r="C22" s="23">
        <v>46023</v>
      </c>
      <c r="D22" t="s">
        <v>69</v>
      </c>
      <c r="E22">
        <v>6800</v>
      </c>
      <c r="F22" t="s">
        <v>71</v>
      </c>
    </row>
    <row r="23" spans="1:6" hidden="1" x14ac:dyDescent="0.25">
      <c r="A23" t="s">
        <v>96</v>
      </c>
      <c r="B23" t="s">
        <v>60</v>
      </c>
      <c r="C23" s="23">
        <v>46025</v>
      </c>
      <c r="D23" t="s">
        <v>75</v>
      </c>
      <c r="E23">
        <v>6800</v>
      </c>
      <c r="F23" t="s">
        <v>77</v>
      </c>
    </row>
    <row r="24" spans="1:6" hidden="1" x14ac:dyDescent="0.25">
      <c r="A24" t="s">
        <v>85</v>
      </c>
      <c r="B24" t="s">
        <v>64</v>
      </c>
      <c r="C24" s="23">
        <v>46023</v>
      </c>
      <c r="D24" t="s">
        <v>69</v>
      </c>
      <c r="E24">
        <v>6800</v>
      </c>
      <c r="F24" t="s">
        <v>71</v>
      </c>
    </row>
    <row r="25" spans="1:6" hidden="1" x14ac:dyDescent="0.25">
      <c r="A25" t="s">
        <v>97</v>
      </c>
      <c r="B25" t="s">
        <v>64</v>
      </c>
      <c r="C25" s="23">
        <v>46025</v>
      </c>
      <c r="D25" t="s">
        <v>75</v>
      </c>
      <c r="E25">
        <v>6800</v>
      </c>
      <c r="F25" t="s">
        <v>77</v>
      </c>
    </row>
    <row r="26" spans="1:6" hidden="1" x14ac:dyDescent="0.25">
      <c r="A26" t="s">
        <v>98</v>
      </c>
      <c r="B26" t="s">
        <v>10</v>
      </c>
      <c r="C26" s="23">
        <v>46054</v>
      </c>
      <c r="D26" t="s">
        <v>69</v>
      </c>
      <c r="E26">
        <v>4500</v>
      </c>
      <c r="F26" t="s">
        <v>73</v>
      </c>
    </row>
    <row r="27" spans="1:6" hidden="1" x14ac:dyDescent="0.25">
      <c r="A27" t="s">
        <v>110</v>
      </c>
      <c r="B27" t="s">
        <v>10</v>
      </c>
      <c r="C27" s="23">
        <v>46054</v>
      </c>
      <c r="D27" t="s">
        <v>75</v>
      </c>
      <c r="E27">
        <v>4500</v>
      </c>
      <c r="F27" t="s">
        <v>79</v>
      </c>
    </row>
    <row r="28" spans="1:6" hidden="1" x14ac:dyDescent="0.25">
      <c r="A28" t="s">
        <v>99</v>
      </c>
      <c r="B28" t="s">
        <v>16</v>
      </c>
      <c r="C28" s="23">
        <v>46054</v>
      </c>
      <c r="D28" t="s">
        <v>69</v>
      </c>
      <c r="E28">
        <v>6000</v>
      </c>
      <c r="F28" t="s">
        <v>73</v>
      </c>
    </row>
    <row r="29" spans="1:6" hidden="1" x14ac:dyDescent="0.25">
      <c r="A29" t="s">
        <v>111</v>
      </c>
      <c r="B29" t="s">
        <v>16</v>
      </c>
      <c r="C29" s="23">
        <v>46054</v>
      </c>
      <c r="D29" t="s">
        <v>75</v>
      </c>
      <c r="E29">
        <v>6000</v>
      </c>
      <c r="F29" t="s">
        <v>79</v>
      </c>
    </row>
    <row r="30" spans="1:6" hidden="1" x14ac:dyDescent="0.25">
      <c r="A30" t="s">
        <v>100</v>
      </c>
      <c r="B30" t="s">
        <v>21</v>
      </c>
      <c r="C30" s="23">
        <v>46054</v>
      </c>
      <c r="D30" t="s">
        <v>69</v>
      </c>
      <c r="E30">
        <v>5200</v>
      </c>
      <c r="F30" t="s">
        <v>73</v>
      </c>
    </row>
    <row r="31" spans="1:6" hidden="1" x14ac:dyDescent="0.25">
      <c r="A31" t="s">
        <v>198</v>
      </c>
      <c r="B31" t="s">
        <v>21</v>
      </c>
      <c r="C31" s="23">
        <v>46054</v>
      </c>
      <c r="D31" t="s">
        <v>75</v>
      </c>
      <c r="E31">
        <v>5200</v>
      </c>
      <c r="F31" t="s">
        <v>79</v>
      </c>
    </row>
    <row r="32" spans="1:6" hidden="1" x14ac:dyDescent="0.25">
      <c r="A32" t="s">
        <v>101</v>
      </c>
      <c r="B32" t="s">
        <v>26</v>
      </c>
      <c r="C32" s="23">
        <v>46054</v>
      </c>
      <c r="D32" t="s">
        <v>69</v>
      </c>
      <c r="E32">
        <v>4500</v>
      </c>
      <c r="F32" t="s">
        <v>73</v>
      </c>
    </row>
    <row r="33" spans="1:6" hidden="1" x14ac:dyDescent="0.25">
      <c r="A33" t="s">
        <v>112</v>
      </c>
      <c r="B33" t="s">
        <v>26</v>
      </c>
      <c r="C33" s="23">
        <v>46054</v>
      </c>
      <c r="D33" t="s">
        <v>75</v>
      </c>
      <c r="E33">
        <v>4500</v>
      </c>
      <c r="F33" t="s">
        <v>79</v>
      </c>
    </row>
    <row r="34" spans="1:6" hidden="1" x14ac:dyDescent="0.25">
      <c r="A34" t="s">
        <v>102</v>
      </c>
      <c r="B34" t="s">
        <v>31</v>
      </c>
      <c r="C34" s="23">
        <v>46054</v>
      </c>
      <c r="D34" t="s">
        <v>69</v>
      </c>
      <c r="E34">
        <v>4500</v>
      </c>
      <c r="F34" t="s">
        <v>73</v>
      </c>
    </row>
    <row r="35" spans="1:6" hidden="1" x14ac:dyDescent="0.25">
      <c r="A35" t="s">
        <v>113</v>
      </c>
      <c r="B35" t="s">
        <v>31</v>
      </c>
      <c r="C35" s="23">
        <v>46054</v>
      </c>
      <c r="D35" t="s">
        <v>75</v>
      </c>
      <c r="E35">
        <v>4500</v>
      </c>
      <c r="F35" t="s">
        <v>79</v>
      </c>
    </row>
    <row r="36" spans="1:6" hidden="1" x14ac:dyDescent="0.25">
      <c r="A36" t="s">
        <v>103</v>
      </c>
      <c r="B36" t="s">
        <v>36</v>
      </c>
      <c r="C36" s="23">
        <v>46054</v>
      </c>
      <c r="D36" t="s">
        <v>69</v>
      </c>
      <c r="E36">
        <v>6800</v>
      </c>
      <c r="F36" t="s">
        <v>73</v>
      </c>
    </row>
    <row r="37" spans="1:6" hidden="1" x14ac:dyDescent="0.25">
      <c r="A37" t="s">
        <v>114</v>
      </c>
      <c r="B37" t="s">
        <v>36</v>
      </c>
      <c r="C37" s="23">
        <v>46054</v>
      </c>
      <c r="D37" t="s">
        <v>75</v>
      </c>
      <c r="E37">
        <v>6800</v>
      </c>
      <c r="F37" t="s">
        <v>79</v>
      </c>
    </row>
    <row r="38" spans="1:6" hidden="1" x14ac:dyDescent="0.25">
      <c r="A38" t="s">
        <v>104</v>
      </c>
      <c r="B38" t="s">
        <v>41</v>
      </c>
      <c r="C38" s="23">
        <v>46054</v>
      </c>
      <c r="D38" t="s">
        <v>69</v>
      </c>
      <c r="E38">
        <v>4500</v>
      </c>
      <c r="F38" t="s">
        <v>73</v>
      </c>
    </row>
    <row r="39" spans="1:6" hidden="1" x14ac:dyDescent="0.25">
      <c r="A39" t="s">
        <v>115</v>
      </c>
      <c r="B39" t="s">
        <v>41</v>
      </c>
      <c r="C39" s="23">
        <v>46056</v>
      </c>
      <c r="D39" t="s">
        <v>75</v>
      </c>
      <c r="E39">
        <v>4500</v>
      </c>
      <c r="F39" t="s">
        <v>79</v>
      </c>
    </row>
    <row r="40" spans="1:6" hidden="1" x14ac:dyDescent="0.25">
      <c r="A40" t="s">
        <v>105</v>
      </c>
      <c r="B40" t="s">
        <v>46</v>
      </c>
      <c r="C40" s="23">
        <v>46054</v>
      </c>
      <c r="D40" t="s">
        <v>69</v>
      </c>
      <c r="E40">
        <v>5200</v>
      </c>
      <c r="F40" t="s">
        <v>73</v>
      </c>
    </row>
    <row r="41" spans="1:6" hidden="1" x14ac:dyDescent="0.25">
      <c r="A41" t="s">
        <v>116</v>
      </c>
      <c r="B41" t="s">
        <v>46</v>
      </c>
      <c r="C41" s="23">
        <v>46056</v>
      </c>
      <c r="D41" t="s">
        <v>75</v>
      </c>
      <c r="E41">
        <v>5200</v>
      </c>
      <c r="F41" t="s">
        <v>79</v>
      </c>
    </row>
    <row r="42" spans="1:6" hidden="1" x14ac:dyDescent="0.25">
      <c r="A42" t="s">
        <v>106</v>
      </c>
      <c r="B42" t="s">
        <v>51</v>
      </c>
      <c r="C42" s="23">
        <v>46054</v>
      </c>
      <c r="D42" t="s">
        <v>69</v>
      </c>
      <c r="E42">
        <v>4500</v>
      </c>
      <c r="F42" t="s">
        <v>73</v>
      </c>
    </row>
    <row r="43" spans="1:6" hidden="1" x14ac:dyDescent="0.25">
      <c r="A43" t="s">
        <v>117</v>
      </c>
      <c r="B43" t="s">
        <v>51</v>
      </c>
      <c r="C43" s="23">
        <v>46056</v>
      </c>
      <c r="D43" t="s">
        <v>75</v>
      </c>
      <c r="E43">
        <v>4500</v>
      </c>
      <c r="F43" t="s">
        <v>79</v>
      </c>
    </row>
    <row r="44" spans="1:6" hidden="1" x14ac:dyDescent="0.25">
      <c r="A44" t="s">
        <v>107</v>
      </c>
      <c r="B44" t="s">
        <v>56</v>
      </c>
      <c r="C44" s="23">
        <v>46054</v>
      </c>
      <c r="D44" t="s">
        <v>69</v>
      </c>
      <c r="E44">
        <v>5200</v>
      </c>
      <c r="F44" t="s">
        <v>73</v>
      </c>
    </row>
    <row r="45" spans="1:6" hidden="1" x14ac:dyDescent="0.25">
      <c r="A45" t="s">
        <v>118</v>
      </c>
      <c r="B45" t="s">
        <v>56</v>
      </c>
      <c r="C45" s="23">
        <v>46056</v>
      </c>
      <c r="D45" t="s">
        <v>75</v>
      </c>
      <c r="E45">
        <v>5200</v>
      </c>
      <c r="F45" t="s">
        <v>79</v>
      </c>
    </row>
    <row r="46" spans="1:6" hidden="1" x14ac:dyDescent="0.25">
      <c r="A46" t="s">
        <v>108</v>
      </c>
      <c r="B46" t="s">
        <v>60</v>
      </c>
      <c r="C46" s="23">
        <v>46054</v>
      </c>
      <c r="D46" t="s">
        <v>69</v>
      </c>
      <c r="E46">
        <v>6800</v>
      </c>
      <c r="F46" t="s">
        <v>73</v>
      </c>
    </row>
    <row r="47" spans="1:6" hidden="1" x14ac:dyDescent="0.25">
      <c r="A47" t="s">
        <v>119</v>
      </c>
      <c r="B47" t="s">
        <v>60</v>
      </c>
      <c r="C47" s="23">
        <v>46057</v>
      </c>
      <c r="D47" t="s">
        <v>75</v>
      </c>
      <c r="E47">
        <v>6800</v>
      </c>
      <c r="F47" t="s">
        <v>79</v>
      </c>
    </row>
    <row r="48" spans="1:6" hidden="1" x14ac:dyDescent="0.25">
      <c r="A48" t="s">
        <v>109</v>
      </c>
      <c r="B48" t="s">
        <v>64</v>
      </c>
      <c r="C48" s="23">
        <v>46054</v>
      </c>
      <c r="D48" t="s">
        <v>69</v>
      </c>
      <c r="E48">
        <v>6800</v>
      </c>
      <c r="F48" t="s">
        <v>73</v>
      </c>
    </row>
    <row r="49" spans="1:6" hidden="1" x14ac:dyDescent="0.25">
      <c r="A49" t="s">
        <v>120</v>
      </c>
      <c r="B49" t="s">
        <v>64</v>
      </c>
      <c r="C49" s="23">
        <v>46057</v>
      </c>
      <c r="D49" t="s">
        <v>75</v>
      </c>
      <c r="E49">
        <v>6800</v>
      </c>
      <c r="F49" t="s">
        <v>79</v>
      </c>
    </row>
    <row r="50" spans="1:6" hidden="1" x14ac:dyDescent="0.25">
      <c r="A50" t="s">
        <v>121</v>
      </c>
      <c r="B50" t="s">
        <v>10</v>
      </c>
      <c r="C50" s="23">
        <v>46082</v>
      </c>
      <c r="D50" t="s">
        <v>69</v>
      </c>
      <c r="E50">
        <v>4500</v>
      </c>
      <c r="F50" t="s">
        <v>199</v>
      </c>
    </row>
    <row r="51" spans="1:6" hidden="1" x14ac:dyDescent="0.25">
      <c r="A51" t="s">
        <v>133</v>
      </c>
      <c r="B51" t="s">
        <v>10</v>
      </c>
      <c r="C51" s="23">
        <v>46082</v>
      </c>
      <c r="D51" t="s">
        <v>75</v>
      </c>
      <c r="E51">
        <v>4500</v>
      </c>
      <c r="F51" t="s">
        <v>203</v>
      </c>
    </row>
    <row r="52" spans="1:6" hidden="1" x14ac:dyDescent="0.25">
      <c r="A52" t="s">
        <v>122</v>
      </c>
      <c r="B52" t="s">
        <v>16</v>
      </c>
      <c r="C52" s="23">
        <v>46082</v>
      </c>
      <c r="D52" t="s">
        <v>69</v>
      </c>
      <c r="E52">
        <v>6000</v>
      </c>
      <c r="F52" t="s">
        <v>199</v>
      </c>
    </row>
    <row r="53" spans="1:6" hidden="1" x14ac:dyDescent="0.25">
      <c r="A53" t="s">
        <v>134</v>
      </c>
      <c r="B53" t="s">
        <v>16</v>
      </c>
      <c r="C53" s="23">
        <v>46082</v>
      </c>
      <c r="D53" t="s">
        <v>75</v>
      </c>
      <c r="E53">
        <v>6000</v>
      </c>
      <c r="F53" t="s">
        <v>203</v>
      </c>
    </row>
    <row r="54" spans="1:6" hidden="1" x14ac:dyDescent="0.25">
      <c r="A54" t="s">
        <v>123</v>
      </c>
      <c r="B54" t="s">
        <v>21</v>
      </c>
      <c r="C54" s="23">
        <v>46082</v>
      </c>
      <c r="D54" t="s">
        <v>69</v>
      </c>
      <c r="E54">
        <v>5200</v>
      </c>
      <c r="F54" t="s">
        <v>199</v>
      </c>
    </row>
    <row r="55" spans="1:6" hidden="1" x14ac:dyDescent="0.25">
      <c r="A55" t="s">
        <v>135</v>
      </c>
      <c r="B55" t="s">
        <v>21</v>
      </c>
      <c r="C55" s="23">
        <v>46082</v>
      </c>
      <c r="D55" t="s">
        <v>75</v>
      </c>
      <c r="E55">
        <v>5200</v>
      </c>
      <c r="F55" t="s">
        <v>203</v>
      </c>
    </row>
    <row r="56" spans="1:6" hidden="1" x14ac:dyDescent="0.25">
      <c r="A56" t="s">
        <v>124</v>
      </c>
      <c r="B56" t="s">
        <v>26</v>
      </c>
      <c r="C56" s="23">
        <v>46082</v>
      </c>
      <c r="D56" t="s">
        <v>69</v>
      </c>
      <c r="E56">
        <v>4500</v>
      </c>
      <c r="F56" t="s">
        <v>199</v>
      </c>
    </row>
    <row r="57" spans="1:6" hidden="1" x14ac:dyDescent="0.25">
      <c r="A57" t="s">
        <v>180</v>
      </c>
      <c r="B57" t="s">
        <v>26</v>
      </c>
      <c r="C57" s="23">
        <v>46082</v>
      </c>
      <c r="D57" t="s">
        <v>75</v>
      </c>
      <c r="E57">
        <v>4500</v>
      </c>
      <c r="F57" t="s">
        <v>203</v>
      </c>
    </row>
    <row r="58" spans="1:6" hidden="1" x14ac:dyDescent="0.25">
      <c r="A58" t="s">
        <v>125</v>
      </c>
      <c r="B58" t="s">
        <v>31</v>
      </c>
      <c r="C58" s="23">
        <v>46082</v>
      </c>
      <c r="D58" t="s">
        <v>69</v>
      </c>
      <c r="E58">
        <v>4500</v>
      </c>
      <c r="F58" t="s">
        <v>199</v>
      </c>
    </row>
    <row r="59" spans="1:6" hidden="1" x14ac:dyDescent="0.25">
      <c r="A59" t="s">
        <v>181</v>
      </c>
      <c r="B59" t="s">
        <v>31</v>
      </c>
      <c r="C59" s="23">
        <v>46082</v>
      </c>
      <c r="D59" t="s">
        <v>75</v>
      </c>
      <c r="E59">
        <v>4500</v>
      </c>
      <c r="F59" t="s">
        <v>203</v>
      </c>
    </row>
    <row r="60" spans="1:6" hidden="1" x14ac:dyDescent="0.25">
      <c r="A60" t="s">
        <v>126</v>
      </c>
      <c r="B60" t="s">
        <v>36</v>
      </c>
      <c r="C60" s="23">
        <v>46082</v>
      </c>
      <c r="D60" t="s">
        <v>69</v>
      </c>
      <c r="E60">
        <v>6800</v>
      </c>
      <c r="F60" t="s">
        <v>199</v>
      </c>
    </row>
    <row r="61" spans="1:6" hidden="1" x14ac:dyDescent="0.25">
      <c r="A61" t="s">
        <v>182</v>
      </c>
      <c r="B61" t="s">
        <v>36</v>
      </c>
      <c r="C61" s="23">
        <v>46082</v>
      </c>
      <c r="D61" t="s">
        <v>75</v>
      </c>
      <c r="E61">
        <v>6800</v>
      </c>
      <c r="F61" t="s">
        <v>203</v>
      </c>
    </row>
    <row r="62" spans="1:6" hidden="1" x14ac:dyDescent="0.25">
      <c r="A62" t="s">
        <v>127</v>
      </c>
      <c r="B62" t="s">
        <v>41</v>
      </c>
      <c r="C62" s="23">
        <v>46082</v>
      </c>
      <c r="D62" t="s">
        <v>69</v>
      </c>
      <c r="E62">
        <v>4500</v>
      </c>
      <c r="F62" t="s">
        <v>199</v>
      </c>
    </row>
    <row r="63" spans="1:6" hidden="1" x14ac:dyDescent="0.25">
      <c r="A63" t="s">
        <v>183</v>
      </c>
      <c r="B63" t="s">
        <v>41</v>
      </c>
      <c r="C63" s="23">
        <v>46083</v>
      </c>
      <c r="D63" t="s">
        <v>75</v>
      </c>
      <c r="E63">
        <v>4500</v>
      </c>
      <c r="F63" t="s">
        <v>203</v>
      </c>
    </row>
    <row r="64" spans="1:6" hidden="1" x14ac:dyDescent="0.25">
      <c r="A64" t="s">
        <v>128</v>
      </c>
      <c r="B64" t="s">
        <v>46</v>
      </c>
      <c r="C64" s="23">
        <v>46082</v>
      </c>
      <c r="D64" t="s">
        <v>69</v>
      </c>
      <c r="E64">
        <v>5200</v>
      </c>
      <c r="F64" t="s">
        <v>199</v>
      </c>
    </row>
    <row r="65" spans="1:6" hidden="1" x14ac:dyDescent="0.25">
      <c r="A65" t="s">
        <v>184</v>
      </c>
      <c r="B65" t="s">
        <v>46</v>
      </c>
      <c r="C65" s="23">
        <v>46083</v>
      </c>
      <c r="D65" t="s">
        <v>75</v>
      </c>
      <c r="E65">
        <v>5200</v>
      </c>
      <c r="F65" t="s">
        <v>203</v>
      </c>
    </row>
    <row r="66" spans="1:6" hidden="1" x14ac:dyDescent="0.25">
      <c r="A66" t="s">
        <v>129</v>
      </c>
      <c r="B66" t="s">
        <v>51</v>
      </c>
      <c r="C66" s="23">
        <v>46082</v>
      </c>
      <c r="D66" t="s">
        <v>69</v>
      </c>
      <c r="E66">
        <v>4500</v>
      </c>
      <c r="F66" t="s">
        <v>199</v>
      </c>
    </row>
    <row r="67" spans="1:6" hidden="1" x14ac:dyDescent="0.25">
      <c r="A67" t="s">
        <v>185</v>
      </c>
      <c r="B67" t="s">
        <v>51</v>
      </c>
      <c r="C67" s="23">
        <v>46083</v>
      </c>
      <c r="D67" t="s">
        <v>75</v>
      </c>
      <c r="E67">
        <v>4500</v>
      </c>
      <c r="F67" t="s">
        <v>203</v>
      </c>
    </row>
    <row r="68" spans="1:6" hidden="1" x14ac:dyDescent="0.25">
      <c r="A68" t="s">
        <v>130</v>
      </c>
      <c r="B68" t="s">
        <v>56</v>
      </c>
      <c r="C68" s="23">
        <v>46082</v>
      </c>
      <c r="D68" t="s">
        <v>69</v>
      </c>
      <c r="E68">
        <v>5200</v>
      </c>
      <c r="F68" t="s">
        <v>199</v>
      </c>
    </row>
    <row r="69" spans="1:6" hidden="1" x14ac:dyDescent="0.25">
      <c r="A69" t="s">
        <v>186</v>
      </c>
      <c r="B69" t="s">
        <v>56</v>
      </c>
      <c r="C69" s="23">
        <v>46083</v>
      </c>
      <c r="D69" t="s">
        <v>75</v>
      </c>
      <c r="E69">
        <v>5200</v>
      </c>
      <c r="F69" t="s">
        <v>203</v>
      </c>
    </row>
    <row r="70" spans="1:6" hidden="1" x14ac:dyDescent="0.25">
      <c r="A70" t="s">
        <v>131</v>
      </c>
      <c r="B70" t="s">
        <v>60</v>
      </c>
      <c r="C70" s="23">
        <v>46082</v>
      </c>
      <c r="D70" t="s">
        <v>69</v>
      </c>
      <c r="E70">
        <v>6800</v>
      </c>
      <c r="F70" t="s">
        <v>199</v>
      </c>
    </row>
    <row r="71" spans="1:6" hidden="1" x14ac:dyDescent="0.25">
      <c r="A71" t="s">
        <v>187</v>
      </c>
      <c r="B71" t="s">
        <v>60</v>
      </c>
      <c r="C71" s="23">
        <v>46084</v>
      </c>
      <c r="D71" t="s">
        <v>75</v>
      </c>
      <c r="E71">
        <v>6800</v>
      </c>
      <c r="F71" t="s">
        <v>203</v>
      </c>
    </row>
    <row r="72" spans="1:6" hidden="1" x14ac:dyDescent="0.25">
      <c r="A72" t="s">
        <v>132</v>
      </c>
      <c r="B72" t="s">
        <v>64</v>
      </c>
      <c r="C72" s="23">
        <v>46082</v>
      </c>
      <c r="D72" t="s">
        <v>69</v>
      </c>
      <c r="E72">
        <v>6800</v>
      </c>
      <c r="F72" t="s">
        <v>199</v>
      </c>
    </row>
    <row r="73" spans="1:6" hidden="1" x14ac:dyDescent="0.25">
      <c r="A73" t="s">
        <v>188</v>
      </c>
      <c r="B73" t="s">
        <v>64</v>
      </c>
      <c r="C73" s="23">
        <v>46084</v>
      </c>
      <c r="D73" t="s">
        <v>75</v>
      </c>
      <c r="E73">
        <v>6800</v>
      </c>
      <c r="F73" t="s">
        <v>203</v>
      </c>
    </row>
    <row r="74" spans="1:6" hidden="1" x14ac:dyDescent="0.25">
      <c r="A74" t="s">
        <v>189</v>
      </c>
      <c r="B74" t="s">
        <v>10</v>
      </c>
      <c r="C74" s="23">
        <v>46113</v>
      </c>
      <c r="D74" t="s">
        <v>69</v>
      </c>
      <c r="E74">
        <v>4500</v>
      </c>
      <c r="F74" t="s">
        <v>216</v>
      </c>
    </row>
    <row r="75" spans="1:6" hidden="1" x14ac:dyDescent="0.25">
      <c r="A75" t="s">
        <v>190</v>
      </c>
      <c r="B75" t="s">
        <v>16</v>
      </c>
      <c r="C75" s="23">
        <v>46113</v>
      </c>
      <c r="D75" t="s">
        <v>69</v>
      </c>
      <c r="E75">
        <v>6000</v>
      </c>
      <c r="F75" t="s">
        <v>216</v>
      </c>
    </row>
    <row r="76" spans="1:6" hidden="1" x14ac:dyDescent="0.25">
      <c r="A76" t="s">
        <v>191</v>
      </c>
      <c r="B76" t="s">
        <v>21</v>
      </c>
      <c r="C76" s="23">
        <v>46113</v>
      </c>
      <c r="D76" t="s">
        <v>69</v>
      </c>
      <c r="E76">
        <v>5200</v>
      </c>
      <c r="F76" t="s">
        <v>216</v>
      </c>
    </row>
    <row r="77" spans="1:6" hidden="1" x14ac:dyDescent="0.25">
      <c r="A77" t="s">
        <v>192</v>
      </c>
      <c r="B77" t="s">
        <v>26</v>
      </c>
      <c r="C77" s="23">
        <v>46113</v>
      </c>
      <c r="D77" t="s">
        <v>69</v>
      </c>
      <c r="E77">
        <v>4500</v>
      </c>
      <c r="F77" t="s">
        <v>216</v>
      </c>
    </row>
    <row r="78" spans="1:6" hidden="1" x14ac:dyDescent="0.25">
      <c r="A78" t="s">
        <v>193</v>
      </c>
      <c r="B78" t="s">
        <v>31</v>
      </c>
      <c r="C78" s="23">
        <v>46113</v>
      </c>
      <c r="D78" t="s">
        <v>69</v>
      </c>
      <c r="E78">
        <v>4500</v>
      </c>
      <c r="F78" t="s">
        <v>216</v>
      </c>
    </row>
    <row r="79" spans="1:6" hidden="1" x14ac:dyDescent="0.25">
      <c r="A79" t="s">
        <v>194</v>
      </c>
      <c r="B79" t="s">
        <v>36</v>
      </c>
      <c r="C79" s="23">
        <v>46113</v>
      </c>
      <c r="D79" t="s">
        <v>69</v>
      </c>
      <c r="E79">
        <v>6800</v>
      </c>
      <c r="F79" t="s">
        <v>216</v>
      </c>
    </row>
    <row r="80" spans="1:6" hidden="1" x14ac:dyDescent="0.25">
      <c r="A80" t="s">
        <v>195</v>
      </c>
      <c r="B80" t="s">
        <v>41</v>
      </c>
      <c r="C80" s="23">
        <v>46113</v>
      </c>
      <c r="D80" t="s">
        <v>69</v>
      </c>
      <c r="E80">
        <v>4500</v>
      </c>
      <c r="F80" t="s">
        <v>216</v>
      </c>
    </row>
    <row r="81" spans="1:6" hidden="1" x14ac:dyDescent="0.25">
      <c r="A81" t="s">
        <v>196</v>
      </c>
      <c r="B81" t="s">
        <v>46</v>
      </c>
      <c r="C81" s="23">
        <v>46113</v>
      </c>
      <c r="D81" t="s">
        <v>69</v>
      </c>
      <c r="E81">
        <v>5200</v>
      </c>
      <c r="F81" t="s">
        <v>216</v>
      </c>
    </row>
    <row r="82" spans="1:6" hidden="1" x14ac:dyDescent="0.25">
      <c r="A82" t="s">
        <v>197</v>
      </c>
      <c r="B82" t="s">
        <v>51</v>
      </c>
      <c r="C82" s="23">
        <v>46113</v>
      </c>
      <c r="D82" t="s">
        <v>69</v>
      </c>
      <c r="E82">
        <v>4500</v>
      </c>
      <c r="F82" t="s">
        <v>216</v>
      </c>
    </row>
    <row r="83" spans="1:6" hidden="1" x14ac:dyDescent="0.25">
      <c r="A83" t="s">
        <v>200</v>
      </c>
      <c r="B83" t="s">
        <v>56</v>
      </c>
      <c r="C83" s="23">
        <v>46113</v>
      </c>
      <c r="D83" t="s">
        <v>69</v>
      </c>
      <c r="E83">
        <v>5200</v>
      </c>
      <c r="F83" t="s">
        <v>216</v>
      </c>
    </row>
    <row r="84" spans="1:6" x14ac:dyDescent="0.25">
      <c r="A84" t="s">
        <v>201</v>
      </c>
      <c r="B84" t="s">
        <v>60</v>
      </c>
      <c r="C84" s="23">
        <v>46113</v>
      </c>
      <c r="D84" t="s">
        <v>69</v>
      </c>
      <c r="E84">
        <v>6800</v>
      </c>
      <c r="F84" t="s">
        <v>216</v>
      </c>
    </row>
    <row r="85" spans="1:6" hidden="1" x14ac:dyDescent="0.25">
      <c r="A85" t="s">
        <v>202</v>
      </c>
      <c r="B85" t="s">
        <v>64</v>
      </c>
      <c r="C85" s="23">
        <v>46113</v>
      </c>
      <c r="D85" t="s">
        <v>69</v>
      </c>
      <c r="E85">
        <v>6800</v>
      </c>
      <c r="F85" t="s">
        <v>216</v>
      </c>
    </row>
    <row r="86" spans="1:6" hidden="1" x14ac:dyDescent="0.25">
      <c r="A86" t="s">
        <v>204</v>
      </c>
      <c r="B86" t="s">
        <v>10</v>
      </c>
      <c r="C86" s="23">
        <v>46113</v>
      </c>
      <c r="D86" t="s">
        <v>75</v>
      </c>
      <c r="E86">
        <v>4500</v>
      </c>
      <c r="F86" t="s">
        <v>229</v>
      </c>
    </row>
    <row r="87" spans="1:6" hidden="1" x14ac:dyDescent="0.25">
      <c r="A87" t="s">
        <v>205</v>
      </c>
      <c r="B87" t="s">
        <v>16</v>
      </c>
      <c r="C87" s="23">
        <v>46113</v>
      </c>
      <c r="D87" t="s">
        <v>75</v>
      </c>
      <c r="E87">
        <v>6000</v>
      </c>
      <c r="F87" t="s">
        <v>229</v>
      </c>
    </row>
    <row r="88" spans="1:6" hidden="1" x14ac:dyDescent="0.25">
      <c r="A88" t="s">
        <v>206</v>
      </c>
      <c r="B88" t="s">
        <v>21</v>
      </c>
      <c r="C88" s="23">
        <v>46113</v>
      </c>
      <c r="D88" t="s">
        <v>75</v>
      </c>
      <c r="E88">
        <v>5200</v>
      </c>
      <c r="F88" t="s">
        <v>229</v>
      </c>
    </row>
    <row r="89" spans="1:6" hidden="1" x14ac:dyDescent="0.25">
      <c r="A89" t="s">
        <v>207</v>
      </c>
      <c r="B89" t="s">
        <v>26</v>
      </c>
      <c r="C89" s="23">
        <v>46113</v>
      </c>
      <c r="D89" t="s">
        <v>75</v>
      </c>
      <c r="E89">
        <v>4500</v>
      </c>
      <c r="F89" t="s">
        <v>229</v>
      </c>
    </row>
    <row r="90" spans="1:6" hidden="1" x14ac:dyDescent="0.25">
      <c r="A90" t="s">
        <v>208</v>
      </c>
      <c r="B90" t="s">
        <v>31</v>
      </c>
      <c r="C90" s="23">
        <v>46113</v>
      </c>
      <c r="D90" t="s">
        <v>75</v>
      </c>
      <c r="E90">
        <v>4500</v>
      </c>
      <c r="F90" t="s">
        <v>229</v>
      </c>
    </row>
    <row r="91" spans="1:6" hidden="1" x14ac:dyDescent="0.25">
      <c r="A91" t="s">
        <v>209</v>
      </c>
      <c r="B91" t="s">
        <v>36</v>
      </c>
      <c r="C91" s="23">
        <v>46113</v>
      </c>
      <c r="D91" t="s">
        <v>75</v>
      </c>
      <c r="E91">
        <v>6800</v>
      </c>
      <c r="F91" t="s">
        <v>229</v>
      </c>
    </row>
    <row r="92" spans="1:6" hidden="1" x14ac:dyDescent="0.25">
      <c r="A92" t="s">
        <v>210</v>
      </c>
      <c r="B92" t="s">
        <v>41</v>
      </c>
      <c r="C92" s="23">
        <v>46115</v>
      </c>
      <c r="D92" t="s">
        <v>75</v>
      </c>
      <c r="E92">
        <v>4500</v>
      </c>
      <c r="F92" t="s">
        <v>229</v>
      </c>
    </row>
    <row r="93" spans="1:6" hidden="1" x14ac:dyDescent="0.25">
      <c r="A93" t="s">
        <v>211</v>
      </c>
      <c r="B93" t="s">
        <v>46</v>
      </c>
      <c r="C93" s="23">
        <v>46115</v>
      </c>
      <c r="D93" t="s">
        <v>75</v>
      </c>
      <c r="E93">
        <v>5200</v>
      </c>
      <c r="F93" t="s">
        <v>229</v>
      </c>
    </row>
    <row r="94" spans="1:6" hidden="1" x14ac:dyDescent="0.25">
      <c r="A94" t="s">
        <v>212</v>
      </c>
      <c r="B94" t="s">
        <v>51</v>
      </c>
      <c r="C94" s="23">
        <v>46115</v>
      </c>
      <c r="D94" t="s">
        <v>75</v>
      </c>
      <c r="E94">
        <v>4500</v>
      </c>
      <c r="F94" t="s">
        <v>229</v>
      </c>
    </row>
    <row r="95" spans="1:6" hidden="1" x14ac:dyDescent="0.25">
      <c r="A95" t="s">
        <v>213</v>
      </c>
      <c r="B95" t="s">
        <v>56</v>
      </c>
      <c r="C95" s="23">
        <v>46115</v>
      </c>
      <c r="D95" t="s">
        <v>75</v>
      </c>
      <c r="E95">
        <v>5200</v>
      </c>
      <c r="F95" t="s">
        <v>229</v>
      </c>
    </row>
    <row r="96" spans="1:6" x14ac:dyDescent="0.25">
      <c r="A96" t="s">
        <v>214</v>
      </c>
      <c r="B96" t="s">
        <v>60</v>
      </c>
      <c r="C96" s="23">
        <v>46117</v>
      </c>
      <c r="D96" t="s">
        <v>75</v>
      </c>
      <c r="E96">
        <v>6800</v>
      </c>
      <c r="F96" t="s">
        <v>229</v>
      </c>
    </row>
    <row r="97" spans="1:6" hidden="1" x14ac:dyDescent="0.25">
      <c r="A97" t="s">
        <v>215</v>
      </c>
      <c r="B97" t="s">
        <v>64</v>
      </c>
      <c r="C97" s="23">
        <v>46117</v>
      </c>
      <c r="D97" t="s">
        <v>75</v>
      </c>
      <c r="E97">
        <v>6800</v>
      </c>
      <c r="F97" t="s">
        <v>229</v>
      </c>
    </row>
    <row r="98" spans="1:6" hidden="1" x14ac:dyDescent="0.25">
      <c r="A98" t="s">
        <v>217</v>
      </c>
      <c r="B98" t="s">
        <v>10</v>
      </c>
      <c r="C98" s="23">
        <v>46143</v>
      </c>
      <c r="D98" t="s">
        <v>69</v>
      </c>
      <c r="E98">
        <v>4500</v>
      </c>
      <c r="F98" t="s">
        <v>238</v>
      </c>
    </row>
    <row r="99" spans="1:6" hidden="1" x14ac:dyDescent="0.25">
      <c r="A99" t="s">
        <v>230</v>
      </c>
      <c r="B99" t="s">
        <v>10</v>
      </c>
      <c r="C99" s="23">
        <v>46143</v>
      </c>
      <c r="D99" t="s">
        <v>75</v>
      </c>
      <c r="E99">
        <v>4500</v>
      </c>
      <c r="F99" t="s">
        <v>251</v>
      </c>
    </row>
    <row r="100" spans="1:6" hidden="1" x14ac:dyDescent="0.25">
      <c r="A100" t="s">
        <v>236</v>
      </c>
      <c r="B100" t="s">
        <v>10</v>
      </c>
      <c r="C100" s="23">
        <v>46174</v>
      </c>
      <c r="D100" t="s">
        <v>69</v>
      </c>
      <c r="E100">
        <v>4500</v>
      </c>
      <c r="F100" t="s">
        <v>264</v>
      </c>
    </row>
    <row r="101" spans="1:6" hidden="1" x14ac:dyDescent="0.25">
      <c r="A101" t="s">
        <v>249</v>
      </c>
      <c r="B101" t="s">
        <v>10</v>
      </c>
      <c r="C101" s="23">
        <v>46174</v>
      </c>
      <c r="D101" t="s">
        <v>75</v>
      </c>
      <c r="E101">
        <v>4500</v>
      </c>
      <c r="F101" t="s">
        <v>265</v>
      </c>
    </row>
    <row r="102" spans="1:6" hidden="1" x14ac:dyDescent="0.25">
      <c r="A102" t="s">
        <v>218</v>
      </c>
      <c r="B102" t="s">
        <v>16</v>
      </c>
      <c r="C102" s="23">
        <v>46143</v>
      </c>
      <c r="D102" t="s">
        <v>69</v>
      </c>
      <c r="E102">
        <v>6000</v>
      </c>
      <c r="F102" t="s">
        <v>238</v>
      </c>
    </row>
    <row r="103" spans="1:6" hidden="1" x14ac:dyDescent="0.25">
      <c r="A103" t="s">
        <v>231</v>
      </c>
      <c r="B103" t="s">
        <v>16</v>
      </c>
      <c r="C103" s="23">
        <v>46143</v>
      </c>
      <c r="D103" t="s">
        <v>75</v>
      </c>
      <c r="E103">
        <v>6000</v>
      </c>
      <c r="F103" t="s">
        <v>251</v>
      </c>
    </row>
    <row r="104" spans="1:6" hidden="1" x14ac:dyDescent="0.25">
      <c r="A104" t="s">
        <v>237</v>
      </c>
      <c r="B104" t="s">
        <v>16</v>
      </c>
      <c r="C104" s="23">
        <v>46174</v>
      </c>
      <c r="D104" t="s">
        <v>69</v>
      </c>
      <c r="E104">
        <v>6000</v>
      </c>
      <c r="F104" t="s">
        <v>264</v>
      </c>
    </row>
    <row r="105" spans="1:6" hidden="1" x14ac:dyDescent="0.25">
      <c r="A105" t="s">
        <v>250</v>
      </c>
      <c r="B105" t="s">
        <v>16</v>
      </c>
      <c r="C105" s="23">
        <v>46174</v>
      </c>
      <c r="D105" t="s">
        <v>75</v>
      </c>
      <c r="E105">
        <v>6000</v>
      </c>
      <c r="F105" t="s">
        <v>265</v>
      </c>
    </row>
    <row r="106" spans="1:6" hidden="1" x14ac:dyDescent="0.25">
      <c r="A106" t="s">
        <v>219</v>
      </c>
      <c r="B106" t="s">
        <v>21</v>
      </c>
      <c r="C106" s="23">
        <v>46143</v>
      </c>
      <c r="D106" t="s">
        <v>69</v>
      </c>
      <c r="E106">
        <v>5200</v>
      </c>
      <c r="F106" t="s">
        <v>238</v>
      </c>
    </row>
    <row r="107" spans="1:6" hidden="1" x14ac:dyDescent="0.25">
      <c r="A107" t="s">
        <v>232</v>
      </c>
      <c r="B107" t="s">
        <v>21</v>
      </c>
      <c r="C107" s="23">
        <v>46143</v>
      </c>
      <c r="D107" t="s">
        <v>75</v>
      </c>
      <c r="E107">
        <v>5200</v>
      </c>
      <c r="F107" t="s">
        <v>251</v>
      </c>
    </row>
    <row r="108" spans="1:6" hidden="1" x14ac:dyDescent="0.25">
      <c r="A108" t="s">
        <v>239</v>
      </c>
      <c r="B108" t="s">
        <v>21</v>
      </c>
      <c r="C108" s="23">
        <v>46174</v>
      </c>
      <c r="D108" t="s">
        <v>69</v>
      </c>
      <c r="E108">
        <v>5200</v>
      </c>
      <c r="F108" t="s">
        <v>264</v>
      </c>
    </row>
    <row r="109" spans="1:6" hidden="1" x14ac:dyDescent="0.25">
      <c r="A109" t="s">
        <v>252</v>
      </c>
      <c r="B109" t="s">
        <v>21</v>
      </c>
      <c r="C109" s="23">
        <v>46174</v>
      </c>
      <c r="D109" t="s">
        <v>75</v>
      </c>
      <c r="E109">
        <v>5200</v>
      </c>
      <c r="F109" t="s">
        <v>265</v>
      </c>
    </row>
    <row r="110" spans="1:6" hidden="1" x14ac:dyDescent="0.25">
      <c r="A110" t="s">
        <v>220</v>
      </c>
      <c r="B110" t="s">
        <v>26</v>
      </c>
      <c r="C110" s="23">
        <v>46143</v>
      </c>
      <c r="D110" t="s">
        <v>69</v>
      </c>
      <c r="E110">
        <v>4500</v>
      </c>
      <c r="F110" t="s">
        <v>238</v>
      </c>
    </row>
    <row r="111" spans="1:6" hidden="1" x14ac:dyDescent="0.25">
      <c r="A111" t="s">
        <v>233</v>
      </c>
      <c r="B111" t="s">
        <v>26</v>
      </c>
      <c r="C111" s="23">
        <v>46143</v>
      </c>
      <c r="D111" t="s">
        <v>75</v>
      </c>
      <c r="E111">
        <v>4500</v>
      </c>
      <c r="F111" t="s">
        <v>251</v>
      </c>
    </row>
    <row r="112" spans="1:6" hidden="1" x14ac:dyDescent="0.25">
      <c r="A112" t="s">
        <v>240</v>
      </c>
      <c r="B112" t="s">
        <v>26</v>
      </c>
      <c r="C112" s="23">
        <v>46174</v>
      </c>
      <c r="D112" t="s">
        <v>69</v>
      </c>
      <c r="E112">
        <v>4500</v>
      </c>
      <c r="F112" t="s">
        <v>264</v>
      </c>
    </row>
    <row r="113" spans="1:6" hidden="1" x14ac:dyDescent="0.25">
      <c r="A113" t="s">
        <v>253</v>
      </c>
      <c r="B113" t="s">
        <v>26</v>
      </c>
      <c r="C113" s="23">
        <v>46174</v>
      </c>
      <c r="D113" t="s">
        <v>75</v>
      </c>
      <c r="E113">
        <v>4500</v>
      </c>
      <c r="F113" t="s">
        <v>265</v>
      </c>
    </row>
    <row r="114" spans="1:6" hidden="1" x14ac:dyDescent="0.25">
      <c r="A114" t="s">
        <v>221</v>
      </c>
      <c r="B114" t="s">
        <v>31</v>
      </c>
      <c r="C114" s="23">
        <v>46143</v>
      </c>
      <c r="D114" t="s">
        <v>69</v>
      </c>
      <c r="E114">
        <v>4500</v>
      </c>
      <c r="F114" t="s">
        <v>238</v>
      </c>
    </row>
    <row r="115" spans="1:6" hidden="1" x14ac:dyDescent="0.25">
      <c r="A115" t="s">
        <v>234</v>
      </c>
      <c r="B115" t="s">
        <v>31</v>
      </c>
      <c r="C115" s="23">
        <v>46143</v>
      </c>
      <c r="D115" t="s">
        <v>75</v>
      </c>
      <c r="E115">
        <v>4500</v>
      </c>
      <c r="F115" t="s">
        <v>251</v>
      </c>
    </row>
    <row r="116" spans="1:6" hidden="1" x14ac:dyDescent="0.25">
      <c r="A116" t="s">
        <v>241</v>
      </c>
      <c r="B116" t="s">
        <v>31</v>
      </c>
      <c r="C116" s="23">
        <v>46174</v>
      </c>
      <c r="D116" t="s">
        <v>69</v>
      </c>
      <c r="E116">
        <v>4500</v>
      </c>
      <c r="F116" t="s">
        <v>264</v>
      </c>
    </row>
    <row r="117" spans="1:6" hidden="1" x14ac:dyDescent="0.25">
      <c r="A117" t="s">
        <v>254</v>
      </c>
      <c r="B117" t="s">
        <v>31</v>
      </c>
      <c r="C117" s="23">
        <v>46174</v>
      </c>
      <c r="D117" t="s">
        <v>75</v>
      </c>
      <c r="E117">
        <v>4500</v>
      </c>
      <c r="F117" t="s">
        <v>265</v>
      </c>
    </row>
    <row r="118" spans="1:6" hidden="1" x14ac:dyDescent="0.25">
      <c r="A118" t="s">
        <v>262</v>
      </c>
      <c r="B118" t="s">
        <v>10</v>
      </c>
      <c r="C118" s="23">
        <v>46204</v>
      </c>
      <c r="D118" t="s">
        <v>69</v>
      </c>
      <c r="E118">
        <v>4500</v>
      </c>
      <c r="F118" t="s">
        <v>267</v>
      </c>
    </row>
    <row r="119" spans="1:6" hidden="1" x14ac:dyDescent="0.25">
      <c r="A119" t="s">
        <v>279</v>
      </c>
      <c r="B119" t="s">
        <v>10</v>
      </c>
      <c r="C119" s="23">
        <v>46204</v>
      </c>
      <c r="D119" t="s">
        <v>75</v>
      </c>
      <c r="E119">
        <v>4500</v>
      </c>
      <c r="F119" t="s">
        <v>280</v>
      </c>
    </row>
    <row r="120" spans="1:6" hidden="1" x14ac:dyDescent="0.25">
      <c r="A120" t="s">
        <v>286</v>
      </c>
      <c r="B120" t="s">
        <v>10</v>
      </c>
      <c r="C120" s="23">
        <v>46235</v>
      </c>
      <c r="D120" t="s">
        <v>69</v>
      </c>
      <c r="E120">
        <v>4500</v>
      </c>
      <c r="F120" t="s">
        <v>287</v>
      </c>
    </row>
    <row r="121" spans="1:6" hidden="1" x14ac:dyDescent="0.25">
      <c r="A121" t="s">
        <v>299</v>
      </c>
      <c r="B121" t="s">
        <v>10</v>
      </c>
      <c r="C121" s="23">
        <v>46235</v>
      </c>
      <c r="D121" t="s">
        <v>75</v>
      </c>
      <c r="E121">
        <v>4500</v>
      </c>
      <c r="F121" t="s">
        <v>300</v>
      </c>
    </row>
    <row r="122" spans="1:6" hidden="1" x14ac:dyDescent="0.25">
      <c r="A122" t="s">
        <v>222</v>
      </c>
      <c r="B122" t="s">
        <v>36</v>
      </c>
      <c r="C122" s="23">
        <v>46143</v>
      </c>
      <c r="D122" t="s">
        <v>69</v>
      </c>
      <c r="E122">
        <v>6800</v>
      </c>
      <c r="F122" t="s">
        <v>238</v>
      </c>
    </row>
    <row r="123" spans="1:6" hidden="1" x14ac:dyDescent="0.25">
      <c r="A123" t="s">
        <v>235</v>
      </c>
      <c r="B123" t="s">
        <v>36</v>
      </c>
      <c r="C123" s="23">
        <v>46143</v>
      </c>
      <c r="D123" t="s">
        <v>75</v>
      </c>
      <c r="E123">
        <v>6800</v>
      </c>
      <c r="F123" t="s">
        <v>251</v>
      </c>
    </row>
    <row r="124" spans="1:6" hidden="1" x14ac:dyDescent="0.25">
      <c r="A124" t="s">
        <v>268</v>
      </c>
      <c r="B124" t="s">
        <v>16</v>
      </c>
      <c r="C124" s="23">
        <v>46204</v>
      </c>
      <c r="D124" t="s">
        <v>69</v>
      </c>
      <c r="E124">
        <v>6000</v>
      </c>
      <c r="F124" t="s">
        <v>267</v>
      </c>
    </row>
    <row r="125" spans="1:6" hidden="1" x14ac:dyDescent="0.25">
      <c r="A125" t="s">
        <v>281</v>
      </c>
      <c r="B125" t="s">
        <v>16</v>
      </c>
      <c r="C125" s="23">
        <v>46204</v>
      </c>
      <c r="D125" t="s">
        <v>75</v>
      </c>
      <c r="E125">
        <v>6000</v>
      </c>
      <c r="F125" t="s">
        <v>280</v>
      </c>
    </row>
    <row r="126" spans="1:6" hidden="1" x14ac:dyDescent="0.25">
      <c r="A126" t="s">
        <v>288</v>
      </c>
      <c r="B126" t="s">
        <v>16</v>
      </c>
      <c r="C126" s="23">
        <v>46235</v>
      </c>
      <c r="D126" t="s">
        <v>69</v>
      </c>
      <c r="E126">
        <v>6000</v>
      </c>
      <c r="F126" t="s">
        <v>287</v>
      </c>
    </row>
    <row r="127" spans="1:6" hidden="1" x14ac:dyDescent="0.25">
      <c r="A127" t="s">
        <v>301</v>
      </c>
      <c r="B127" t="s">
        <v>16</v>
      </c>
      <c r="C127" s="23">
        <v>46235</v>
      </c>
      <c r="D127" t="s">
        <v>75</v>
      </c>
      <c r="E127">
        <v>6000</v>
      </c>
      <c r="F127" t="s">
        <v>300</v>
      </c>
    </row>
    <row r="128" spans="1:6" hidden="1" x14ac:dyDescent="0.25">
      <c r="A128" t="s">
        <v>242</v>
      </c>
      <c r="B128" t="s">
        <v>36</v>
      </c>
      <c r="C128" s="23">
        <v>46174</v>
      </c>
      <c r="D128" t="s">
        <v>69</v>
      </c>
      <c r="E128">
        <v>6800</v>
      </c>
      <c r="F128" t="s">
        <v>264</v>
      </c>
    </row>
    <row r="129" spans="1:6" hidden="1" x14ac:dyDescent="0.25">
      <c r="A129" t="s">
        <v>255</v>
      </c>
      <c r="B129" t="s">
        <v>36</v>
      </c>
      <c r="C129" s="23">
        <v>46174</v>
      </c>
      <c r="D129" t="s">
        <v>75</v>
      </c>
      <c r="E129">
        <v>6800</v>
      </c>
      <c r="F129" t="s">
        <v>265</v>
      </c>
    </row>
    <row r="130" spans="1:6" hidden="1" x14ac:dyDescent="0.25">
      <c r="A130" t="s">
        <v>269</v>
      </c>
      <c r="B130" t="s">
        <v>21</v>
      </c>
      <c r="C130" s="23">
        <v>46204</v>
      </c>
      <c r="D130" t="s">
        <v>69</v>
      </c>
      <c r="E130">
        <v>5200</v>
      </c>
      <c r="F130" t="s">
        <v>267</v>
      </c>
    </row>
    <row r="131" spans="1:6" hidden="1" x14ac:dyDescent="0.25">
      <c r="A131" t="s">
        <v>282</v>
      </c>
      <c r="B131" t="s">
        <v>21</v>
      </c>
      <c r="C131" s="23">
        <v>46204</v>
      </c>
      <c r="D131" t="s">
        <v>75</v>
      </c>
      <c r="E131">
        <v>5200</v>
      </c>
      <c r="F131" t="s">
        <v>280</v>
      </c>
    </row>
    <row r="132" spans="1:6" hidden="1" x14ac:dyDescent="0.25">
      <c r="A132" t="s">
        <v>289</v>
      </c>
      <c r="B132" t="s">
        <v>21</v>
      </c>
      <c r="C132" s="23">
        <v>46235</v>
      </c>
      <c r="D132" t="s">
        <v>69</v>
      </c>
      <c r="E132">
        <v>5200</v>
      </c>
      <c r="F132" t="s">
        <v>287</v>
      </c>
    </row>
    <row r="133" spans="1:6" hidden="1" x14ac:dyDescent="0.25">
      <c r="A133" t="s">
        <v>302</v>
      </c>
      <c r="B133" t="s">
        <v>21</v>
      </c>
      <c r="C133" s="23">
        <v>46235</v>
      </c>
      <c r="D133" t="s">
        <v>75</v>
      </c>
      <c r="E133">
        <v>5200</v>
      </c>
      <c r="F133" t="s">
        <v>300</v>
      </c>
    </row>
    <row r="134" spans="1:6" hidden="1" x14ac:dyDescent="0.25">
      <c r="A134" t="s">
        <v>223</v>
      </c>
      <c r="B134" t="s">
        <v>41</v>
      </c>
      <c r="C134" s="23">
        <v>46143</v>
      </c>
      <c r="D134" t="s">
        <v>69</v>
      </c>
      <c r="E134">
        <v>4500</v>
      </c>
      <c r="F134" t="s">
        <v>238</v>
      </c>
    </row>
    <row r="135" spans="1:6" hidden="1" x14ac:dyDescent="0.25">
      <c r="A135" t="s">
        <v>243</v>
      </c>
      <c r="B135" t="s">
        <v>41</v>
      </c>
      <c r="C135" s="23">
        <v>46174</v>
      </c>
      <c r="D135" t="s">
        <v>69</v>
      </c>
      <c r="E135">
        <v>4500</v>
      </c>
      <c r="F135" t="s">
        <v>264</v>
      </c>
    </row>
    <row r="136" spans="1:6" hidden="1" x14ac:dyDescent="0.25">
      <c r="A136" t="s">
        <v>270</v>
      </c>
      <c r="B136" t="s">
        <v>26</v>
      </c>
      <c r="C136" s="23">
        <v>46204</v>
      </c>
      <c r="D136" t="s">
        <v>69</v>
      </c>
      <c r="E136">
        <v>4500</v>
      </c>
      <c r="F136" t="s">
        <v>267</v>
      </c>
    </row>
    <row r="137" spans="1:6" hidden="1" x14ac:dyDescent="0.25">
      <c r="A137" t="s">
        <v>283</v>
      </c>
      <c r="B137" t="s">
        <v>26</v>
      </c>
      <c r="C137" s="23">
        <v>46204</v>
      </c>
      <c r="D137" t="s">
        <v>75</v>
      </c>
      <c r="E137">
        <v>4500</v>
      </c>
      <c r="F137" t="s">
        <v>280</v>
      </c>
    </row>
    <row r="138" spans="1:6" hidden="1" x14ac:dyDescent="0.25">
      <c r="A138" t="s">
        <v>290</v>
      </c>
      <c r="B138" t="s">
        <v>26</v>
      </c>
      <c r="C138" s="23">
        <v>46235</v>
      </c>
      <c r="D138" t="s">
        <v>69</v>
      </c>
      <c r="E138">
        <v>4500</v>
      </c>
      <c r="F138" t="s">
        <v>287</v>
      </c>
    </row>
    <row r="139" spans="1:6" hidden="1" x14ac:dyDescent="0.25">
      <c r="A139" t="s">
        <v>303</v>
      </c>
      <c r="B139" t="s">
        <v>26</v>
      </c>
      <c r="C139" s="23">
        <v>46235</v>
      </c>
      <c r="D139" t="s">
        <v>75</v>
      </c>
      <c r="E139">
        <v>4500</v>
      </c>
      <c r="F139" t="s">
        <v>300</v>
      </c>
    </row>
    <row r="140" spans="1:6" hidden="1" x14ac:dyDescent="0.25">
      <c r="A140" t="s">
        <v>256</v>
      </c>
      <c r="B140" t="s">
        <v>41</v>
      </c>
      <c r="C140" s="23">
        <v>46193</v>
      </c>
      <c r="D140" t="s">
        <v>75</v>
      </c>
      <c r="E140">
        <v>2250</v>
      </c>
      <c r="F140" t="s">
        <v>266</v>
      </c>
    </row>
    <row r="141" spans="1:6" hidden="1" x14ac:dyDescent="0.25">
      <c r="A141" t="s">
        <v>224</v>
      </c>
      <c r="B141" t="s">
        <v>46</v>
      </c>
      <c r="C141" s="23">
        <v>46143</v>
      </c>
      <c r="D141" t="s">
        <v>69</v>
      </c>
      <c r="E141">
        <v>5200</v>
      </c>
      <c r="F141" t="s">
        <v>238</v>
      </c>
    </row>
    <row r="142" spans="1:6" hidden="1" x14ac:dyDescent="0.25">
      <c r="A142" t="s">
        <v>271</v>
      </c>
      <c r="B142" t="s">
        <v>31</v>
      </c>
      <c r="C142" s="23">
        <v>46204</v>
      </c>
      <c r="D142" t="s">
        <v>69</v>
      </c>
      <c r="E142">
        <v>4500</v>
      </c>
      <c r="F142" t="s">
        <v>267</v>
      </c>
    </row>
    <row r="143" spans="1:6" hidden="1" x14ac:dyDescent="0.25">
      <c r="A143" t="s">
        <v>284</v>
      </c>
      <c r="B143" t="s">
        <v>31</v>
      </c>
      <c r="C143" s="23">
        <v>46204</v>
      </c>
      <c r="D143" t="s">
        <v>75</v>
      </c>
      <c r="E143">
        <v>4500</v>
      </c>
      <c r="F143" t="s">
        <v>280</v>
      </c>
    </row>
    <row r="144" spans="1:6" hidden="1" x14ac:dyDescent="0.25">
      <c r="A144" t="s">
        <v>291</v>
      </c>
      <c r="B144" t="s">
        <v>31</v>
      </c>
      <c r="C144" s="23">
        <v>46235</v>
      </c>
      <c r="D144" t="s">
        <v>69</v>
      </c>
      <c r="E144">
        <v>4500</v>
      </c>
      <c r="F144" t="s">
        <v>287</v>
      </c>
    </row>
    <row r="145" spans="1:6" hidden="1" x14ac:dyDescent="0.25">
      <c r="A145" t="s">
        <v>304</v>
      </c>
      <c r="B145" t="s">
        <v>31</v>
      </c>
      <c r="C145" s="23">
        <v>46235</v>
      </c>
      <c r="D145" t="s">
        <v>75</v>
      </c>
      <c r="E145">
        <v>4500</v>
      </c>
      <c r="F145" t="s">
        <v>300</v>
      </c>
    </row>
    <row r="146" spans="1:6" hidden="1" x14ac:dyDescent="0.25">
      <c r="A146" t="s">
        <v>244</v>
      </c>
      <c r="B146" t="s">
        <v>46</v>
      </c>
      <c r="C146" s="23">
        <v>46174</v>
      </c>
      <c r="D146" t="s">
        <v>69</v>
      </c>
      <c r="E146">
        <v>5200</v>
      </c>
      <c r="F146" t="s">
        <v>264</v>
      </c>
    </row>
    <row r="147" spans="1:6" hidden="1" x14ac:dyDescent="0.25">
      <c r="A147" t="s">
        <v>257</v>
      </c>
      <c r="B147" t="s">
        <v>46</v>
      </c>
      <c r="C147" s="23">
        <v>46193</v>
      </c>
      <c r="D147" t="s">
        <v>75</v>
      </c>
      <c r="E147">
        <v>2600</v>
      </c>
      <c r="F147" t="s">
        <v>266</v>
      </c>
    </row>
    <row r="148" spans="1:6" hidden="1" x14ac:dyDescent="0.25">
      <c r="A148" t="s">
        <v>272</v>
      </c>
      <c r="B148" t="s">
        <v>36</v>
      </c>
      <c r="C148" s="23">
        <v>46204</v>
      </c>
      <c r="D148" t="s">
        <v>69</v>
      </c>
      <c r="E148">
        <v>6800</v>
      </c>
      <c r="F148" t="s">
        <v>267</v>
      </c>
    </row>
    <row r="149" spans="1:6" hidden="1" x14ac:dyDescent="0.25">
      <c r="A149" t="s">
        <v>285</v>
      </c>
      <c r="B149" t="s">
        <v>36</v>
      </c>
      <c r="C149" s="23">
        <v>46204</v>
      </c>
      <c r="D149" t="s">
        <v>75</v>
      </c>
      <c r="E149">
        <v>6800</v>
      </c>
      <c r="F149" t="s">
        <v>280</v>
      </c>
    </row>
    <row r="150" spans="1:6" hidden="1" x14ac:dyDescent="0.25">
      <c r="A150" t="s">
        <v>292</v>
      </c>
      <c r="B150" t="s">
        <v>36</v>
      </c>
      <c r="C150" s="23">
        <v>46235</v>
      </c>
      <c r="D150" t="s">
        <v>69</v>
      </c>
      <c r="E150">
        <v>6800</v>
      </c>
      <c r="F150" t="s">
        <v>287</v>
      </c>
    </row>
    <row r="151" spans="1:6" hidden="1" x14ac:dyDescent="0.25">
      <c r="A151" t="s">
        <v>305</v>
      </c>
      <c r="B151" t="s">
        <v>36</v>
      </c>
      <c r="C151" s="23">
        <v>46235</v>
      </c>
      <c r="D151" t="s">
        <v>75</v>
      </c>
      <c r="E151">
        <v>6800</v>
      </c>
      <c r="F151" t="s">
        <v>300</v>
      </c>
    </row>
    <row r="152" spans="1:6" hidden="1" x14ac:dyDescent="0.25">
      <c r="A152" t="s">
        <v>225</v>
      </c>
      <c r="B152" t="s">
        <v>51</v>
      </c>
      <c r="C152" s="23">
        <v>46143</v>
      </c>
      <c r="D152" t="s">
        <v>69</v>
      </c>
      <c r="E152">
        <v>4500</v>
      </c>
      <c r="F152" t="s">
        <v>238</v>
      </c>
    </row>
    <row r="153" spans="1:6" hidden="1" x14ac:dyDescent="0.25">
      <c r="A153" t="s">
        <v>245</v>
      </c>
      <c r="B153" t="s">
        <v>51</v>
      </c>
      <c r="C153" s="23">
        <v>46174</v>
      </c>
      <c r="D153" t="s">
        <v>69</v>
      </c>
      <c r="E153">
        <v>4500</v>
      </c>
      <c r="F153" t="s">
        <v>264</v>
      </c>
    </row>
    <row r="154" spans="1:6" hidden="1" x14ac:dyDescent="0.25">
      <c r="A154" t="s">
        <v>273</v>
      </c>
      <c r="B154" t="s">
        <v>41</v>
      </c>
      <c r="C154" s="23">
        <v>46204</v>
      </c>
      <c r="D154" t="s">
        <v>69</v>
      </c>
      <c r="E154">
        <v>4500</v>
      </c>
      <c r="F154" t="s">
        <v>267</v>
      </c>
    </row>
    <row r="155" spans="1:6" hidden="1" x14ac:dyDescent="0.25">
      <c r="A155" t="s">
        <v>293</v>
      </c>
      <c r="B155" t="s">
        <v>41</v>
      </c>
      <c r="C155" s="23">
        <v>46235</v>
      </c>
      <c r="D155" t="s">
        <v>69</v>
      </c>
      <c r="E155">
        <v>4500</v>
      </c>
      <c r="F155" t="s">
        <v>287</v>
      </c>
    </row>
    <row r="156" spans="1:6" hidden="1" x14ac:dyDescent="0.25">
      <c r="A156" t="s">
        <v>306</v>
      </c>
      <c r="B156" t="s">
        <v>41</v>
      </c>
      <c r="C156" s="23">
        <v>46259</v>
      </c>
      <c r="D156" t="s">
        <v>75</v>
      </c>
      <c r="E156">
        <v>4500</v>
      </c>
      <c r="F156" t="s">
        <v>307</v>
      </c>
    </row>
    <row r="157" spans="1:6" hidden="1" x14ac:dyDescent="0.25">
      <c r="A157" t="s">
        <v>258</v>
      </c>
      <c r="B157" t="s">
        <v>51</v>
      </c>
      <c r="C157" s="23">
        <v>46195</v>
      </c>
      <c r="D157" t="s">
        <v>75</v>
      </c>
      <c r="E157">
        <v>4500</v>
      </c>
      <c r="F157" t="s">
        <v>422</v>
      </c>
    </row>
    <row r="158" spans="1:6" hidden="1" x14ac:dyDescent="0.25">
      <c r="A158" t="s">
        <v>226</v>
      </c>
      <c r="B158" t="s">
        <v>56</v>
      </c>
      <c r="C158" s="23">
        <v>46143</v>
      </c>
      <c r="D158" t="s">
        <v>69</v>
      </c>
      <c r="E158">
        <v>5200</v>
      </c>
      <c r="F158" t="s">
        <v>238</v>
      </c>
    </row>
    <row r="159" spans="1:6" hidden="1" x14ac:dyDescent="0.25">
      <c r="A159" t="s">
        <v>274</v>
      </c>
      <c r="B159" t="s">
        <v>46</v>
      </c>
      <c r="C159" s="23">
        <v>46204</v>
      </c>
      <c r="D159" t="s">
        <v>69</v>
      </c>
      <c r="E159">
        <v>5200</v>
      </c>
      <c r="F159" t="s">
        <v>267</v>
      </c>
    </row>
    <row r="160" spans="1:6" hidden="1" x14ac:dyDescent="0.25">
      <c r="A160" t="s">
        <v>294</v>
      </c>
      <c r="B160" t="s">
        <v>46</v>
      </c>
      <c r="C160" s="23">
        <v>46235</v>
      </c>
      <c r="D160" t="s">
        <v>69</v>
      </c>
      <c r="E160">
        <v>5200</v>
      </c>
      <c r="F160" t="s">
        <v>287</v>
      </c>
    </row>
    <row r="161" spans="1:6" hidden="1" x14ac:dyDescent="0.25">
      <c r="A161" t="s">
        <v>308</v>
      </c>
      <c r="B161" t="s">
        <v>46</v>
      </c>
      <c r="C161" s="23">
        <v>46259</v>
      </c>
      <c r="D161" t="s">
        <v>75</v>
      </c>
      <c r="E161">
        <v>5200</v>
      </c>
      <c r="F161" t="s">
        <v>307</v>
      </c>
    </row>
    <row r="162" spans="1:6" hidden="1" x14ac:dyDescent="0.25">
      <c r="A162" t="s">
        <v>246</v>
      </c>
      <c r="B162" t="s">
        <v>56</v>
      </c>
      <c r="C162" s="23">
        <v>46174</v>
      </c>
      <c r="D162" t="s">
        <v>69</v>
      </c>
      <c r="E162">
        <v>5200</v>
      </c>
      <c r="F162" t="s">
        <v>264</v>
      </c>
    </row>
    <row r="163" spans="1:6" hidden="1" x14ac:dyDescent="0.25">
      <c r="A163" t="s">
        <v>259</v>
      </c>
      <c r="B163" t="s">
        <v>56</v>
      </c>
      <c r="C163" s="23">
        <v>46195</v>
      </c>
      <c r="D163" t="s">
        <v>75</v>
      </c>
      <c r="E163">
        <v>5200</v>
      </c>
      <c r="F163" t="s">
        <v>266</v>
      </c>
    </row>
    <row r="164" spans="1:6" hidden="1" x14ac:dyDescent="0.25">
      <c r="A164" t="s">
        <v>275</v>
      </c>
      <c r="B164" t="s">
        <v>51</v>
      </c>
      <c r="C164" s="23">
        <v>46204</v>
      </c>
      <c r="D164" t="s">
        <v>69</v>
      </c>
      <c r="E164">
        <v>4500</v>
      </c>
      <c r="F164" t="s">
        <v>267</v>
      </c>
    </row>
    <row r="165" spans="1:6" hidden="1" x14ac:dyDescent="0.25">
      <c r="A165" t="s">
        <v>295</v>
      </c>
      <c r="B165" t="s">
        <v>51</v>
      </c>
      <c r="C165" s="23">
        <v>46235</v>
      </c>
      <c r="D165" t="s">
        <v>69</v>
      </c>
      <c r="E165">
        <v>4500</v>
      </c>
      <c r="F165" t="s">
        <v>287</v>
      </c>
    </row>
    <row r="166" spans="1:6" hidden="1" x14ac:dyDescent="0.25">
      <c r="A166" t="s">
        <v>309</v>
      </c>
      <c r="B166" t="s">
        <v>51</v>
      </c>
      <c r="C166" s="23">
        <v>46260</v>
      </c>
      <c r="D166" t="s">
        <v>75</v>
      </c>
      <c r="E166">
        <v>2250</v>
      </c>
      <c r="F166" t="s">
        <v>310</v>
      </c>
    </row>
    <row r="167" spans="1:6" x14ac:dyDescent="0.25">
      <c r="A167" t="s">
        <v>227</v>
      </c>
      <c r="B167" t="s">
        <v>60</v>
      </c>
      <c r="C167" s="23">
        <v>46143</v>
      </c>
      <c r="D167" t="s">
        <v>69</v>
      </c>
      <c r="E167">
        <v>6800</v>
      </c>
      <c r="F167" t="s">
        <v>238</v>
      </c>
    </row>
    <row r="168" spans="1:6" x14ac:dyDescent="0.25">
      <c r="A168" t="s">
        <v>247</v>
      </c>
      <c r="B168" t="s">
        <v>60</v>
      </c>
      <c r="C168" s="23">
        <v>46174</v>
      </c>
      <c r="D168" t="s">
        <v>69</v>
      </c>
      <c r="E168">
        <v>6800</v>
      </c>
      <c r="F168" t="s">
        <v>264</v>
      </c>
    </row>
    <row r="169" spans="1:6" hidden="1" x14ac:dyDescent="0.25">
      <c r="A169" t="s">
        <v>276</v>
      </c>
      <c r="B169" t="s">
        <v>56</v>
      </c>
      <c r="C169" s="23">
        <v>46204</v>
      </c>
      <c r="D169" t="s">
        <v>69</v>
      </c>
      <c r="E169">
        <v>5200</v>
      </c>
      <c r="F169" t="s">
        <v>267</v>
      </c>
    </row>
    <row r="170" spans="1:6" hidden="1" x14ac:dyDescent="0.25">
      <c r="A170" t="s">
        <v>296</v>
      </c>
      <c r="B170" t="s">
        <v>56</v>
      </c>
      <c r="C170" s="23">
        <v>46235</v>
      </c>
      <c r="D170" t="s">
        <v>69</v>
      </c>
      <c r="E170">
        <v>5200</v>
      </c>
      <c r="F170" t="s">
        <v>287</v>
      </c>
    </row>
    <row r="171" spans="1:6" hidden="1" x14ac:dyDescent="0.25">
      <c r="A171" t="s">
        <v>311</v>
      </c>
      <c r="B171" t="s">
        <v>56</v>
      </c>
      <c r="C171" s="23">
        <v>46260</v>
      </c>
      <c r="D171" t="s">
        <v>75</v>
      </c>
      <c r="E171">
        <v>2600</v>
      </c>
      <c r="F171" t="s">
        <v>310</v>
      </c>
    </row>
    <row r="172" spans="1:6" x14ac:dyDescent="0.25">
      <c r="A172" t="s">
        <v>260</v>
      </c>
      <c r="B172" t="s">
        <v>60</v>
      </c>
      <c r="C172" s="23">
        <v>46198</v>
      </c>
      <c r="D172" t="s">
        <v>75</v>
      </c>
      <c r="E172">
        <v>3000</v>
      </c>
      <c r="F172" t="s">
        <v>266</v>
      </c>
    </row>
    <row r="173" spans="1:6" hidden="1" x14ac:dyDescent="0.25">
      <c r="A173" t="s">
        <v>228</v>
      </c>
      <c r="B173" t="s">
        <v>64</v>
      </c>
      <c r="C173" s="23">
        <v>46143</v>
      </c>
      <c r="D173" t="s">
        <v>69</v>
      </c>
      <c r="E173">
        <v>6800</v>
      </c>
      <c r="F173" t="s">
        <v>238</v>
      </c>
    </row>
    <row r="174" spans="1:6" x14ac:dyDescent="0.25">
      <c r="A174" t="s">
        <v>277</v>
      </c>
      <c r="B174" t="s">
        <v>60</v>
      </c>
      <c r="C174" s="23">
        <v>46204</v>
      </c>
      <c r="D174" t="s">
        <v>69</v>
      </c>
      <c r="E174">
        <v>6800</v>
      </c>
      <c r="F174" t="s">
        <v>267</v>
      </c>
    </row>
    <row r="175" spans="1:6" x14ac:dyDescent="0.25">
      <c r="A175" t="s">
        <v>297</v>
      </c>
      <c r="B175" t="s">
        <v>60</v>
      </c>
      <c r="C175" s="23">
        <v>46235</v>
      </c>
      <c r="D175" t="s">
        <v>69</v>
      </c>
      <c r="E175">
        <v>6800</v>
      </c>
      <c r="F175" t="s">
        <v>287</v>
      </c>
    </row>
    <row r="176" spans="1:6" x14ac:dyDescent="0.25">
      <c r="A176" t="s">
        <v>312</v>
      </c>
      <c r="B176" t="s">
        <v>60</v>
      </c>
      <c r="C176" s="23">
        <v>46261</v>
      </c>
      <c r="D176" t="s">
        <v>75</v>
      </c>
      <c r="E176">
        <v>3000</v>
      </c>
      <c r="F176" t="s">
        <v>310</v>
      </c>
    </row>
    <row r="177" spans="1:6" hidden="1" x14ac:dyDescent="0.25">
      <c r="A177" t="s">
        <v>248</v>
      </c>
      <c r="B177" t="s">
        <v>64</v>
      </c>
      <c r="C177" s="23">
        <v>46174</v>
      </c>
      <c r="D177" t="s">
        <v>69</v>
      </c>
      <c r="E177">
        <v>6800</v>
      </c>
      <c r="F177" t="s">
        <v>264</v>
      </c>
    </row>
    <row r="178" spans="1:6" hidden="1" x14ac:dyDescent="0.25">
      <c r="A178" t="s">
        <v>261</v>
      </c>
      <c r="B178" t="s">
        <v>64</v>
      </c>
      <c r="C178" s="23">
        <v>46198</v>
      </c>
      <c r="D178" t="s">
        <v>75</v>
      </c>
      <c r="E178">
        <v>3000</v>
      </c>
      <c r="F178" t="s">
        <v>266</v>
      </c>
    </row>
    <row r="179" spans="1:6" hidden="1" x14ac:dyDescent="0.25">
      <c r="A179" t="s">
        <v>278</v>
      </c>
      <c r="B179" t="s">
        <v>64</v>
      </c>
      <c r="C179" s="23">
        <v>46204</v>
      </c>
      <c r="D179" t="s">
        <v>69</v>
      </c>
      <c r="E179">
        <v>6800</v>
      </c>
      <c r="F179" t="s">
        <v>267</v>
      </c>
    </row>
    <row r="180" spans="1:6" hidden="1" x14ac:dyDescent="0.25">
      <c r="A180" t="s">
        <v>298</v>
      </c>
      <c r="B180" t="s">
        <v>64</v>
      </c>
      <c r="C180" s="23">
        <v>46235</v>
      </c>
      <c r="D180" t="s">
        <v>69</v>
      </c>
      <c r="E180">
        <v>6800</v>
      </c>
      <c r="F180" t="s">
        <v>287</v>
      </c>
    </row>
    <row r="181" spans="1:6" hidden="1" x14ac:dyDescent="0.25">
      <c r="A181" t="s">
        <v>313</v>
      </c>
      <c r="B181" t="s">
        <v>64</v>
      </c>
      <c r="C181" s="23">
        <v>46261</v>
      </c>
      <c r="D181" t="s">
        <v>75</v>
      </c>
      <c r="E181">
        <v>3000</v>
      </c>
      <c r="F181" t="s">
        <v>310</v>
      </c>
    </row>
    <row r="182" spans="1:6" hidden="1" x14ac:dyDescent="0.25">
      <c r="A182" t="s">
        <v>314</v>
      </c>
      <c r="B182" t="s">
        <v>10</v>
      </c>
      <c r="C182" s="23">
        <v>46266</v>
      </c>
      <c r="D182" t="s">
        <v>69</v>
      </c>
      <c r="E182">
        <v>4500</v>
      </c>
      <c r="F182" t="s">
        <v>315</v>
      </c>
    </row>
    <row r="183" spans="1:6" hidden="1" x14ac:dyDescent="0.25">
      <c r="A183" t="s">
        <v>316</v>
      </c>
      <c r="B183" t="s">
        <v>16</v>
      </c>
      <c r="C183" s="23">
        <v>46266</v>
      </c>
      <c r="D183" t="s">
        <v>69</v>
      </c>
      <c r="E183">
        <v>6000</v>
      </c>
      <c r="F183" t="s">
        <v>315</v>
      </c>
    </row>
    <row r="184" spans="1:6" hidden="1" x14ac:dyDescent="0.25">
      <c r="A184" t="s">
        <v>317</v>
      </c>
      <c r="B184" t="s">
        <v>21</v>
      </c>
      <c r="C184" s="23">
        <v>46266</v>
      </c>
      <c r="D184" t="s">
        <v>69</v>
      </c>
      <c r="E184">
        <v>5200</v>
      </c>
      <c r="F184" t="s">
        <v>315</v>
      </c>
    </row>
    <row r="185" spans="1:6" hidden="1" x14ac:dyDescent="0.25">
      <c r="A185" t="s">
        <v>318</v>
      </c>
      <c r="B185" t="s">
        <v>26</v>
      </c>
      <c r="C185" s="23">
        <v>46266</v>
      </c>
      <c r="D185" t="s">
        <v>69</v>
      </c>
      <c r="E185">
        <v>4500</v>
      </c>
      <c r="F185" t="s">
        <v>315</v>
      </c>
    </row>
    <row r="186" spans="1:6" hidden="1" x14ac:dyDescent="0.25">
      <c r="A186" t="s">
        <v>319</v>
      </c>
      <c r="B186" t="s">
        <v>31</v>
      </c>
      <c r="C186" s="23">
        <v>46266</v>
      </c>
      <c r="D186" t="s">
        <v>69</v>
      </c>
      <c r="E186">
        <v>4500</v>
      </c>
      <c r="F186" t="s">
        <v>315</v>
      </c>
    </row>
    <row r="187" spans="1:6" hidden="1" x14ac:dyDescent="0.25">
      <c r="A187" t="s">
        <v>320</v>
      </c>
      <c r="B187" t="s">
        <v>36</v>
      </c>
      <c r="C187" s="23">
        <v>46266</v>
      </c>
      <c r="D187" t="s">
        <v>69</v>
      </c>
      <c r="E187">
        <v>6800</v>
      </c>
      <c r="F187" t="s">
        <v>315</v>
      </c>
    </row>
    <row r="188" spans="1:6" hidden="1" x14ac:dyDescent="0.25">
      <c r="A188" t="s">
        <v>321</v>
      </c>
      <c r="B188" t="s">
        <v>41</v>
      </c>
      <c r="C188" s="23">
        <v>46266</v>
      </c>
      <c r="D188" t="s">
        <v>69</v>
      </c>
      <c r="E188">
        <v>4500</v>
      </c>
      <c r="F188" t="s">
        <v>315</v>
      </c>
    </row>
    <row r="189" spans="1:6" hidden="1" x14ac:dyDescent="0.25">
      <c r="A189" t="s">
        <v>322</v>
      </c>
      <c r="B189" t="s">
        <v>46</v>
      </c>
      <c r="C189" s="23">
        <v>46266</v>
      </c>
      <c r="D189" t="s">
        <v>69</v>
      </c>
      <c r="E189">
        <v>5200</v>
      </c>
      <c r="F189" t="s">
        <v>315</v>
      </c>
    </row>
    <row r="190" spans="1:6" hidden="1" x14ac:dyDescent="0.25">
      <c r="A190" t="s">
        <v>323</v>
      </c>
      <c r="B190" t="s">
        <v>51</v>
      </c>
      <c r="C190" s="23">
        <v>46266</v>
      </c>
      <c r="D190" t="s">
        <v>69</v>
      </c>
      <c r="E190">
        <v>4500</v>
      </c>
      <c r="F190" t="s">
        <v>315</v>
      </c>
    </row>
    <row r="191" spans="1:6" hidden="1" x14ac:dyDescent="0.25">
      <c r="A191" t="s">
        <v>324</v>
      </c>
      <c r="B191" t="s">
        <v>56</v>
      </c>
      <c r="C191" s="23">
        <v>46266</v>
      </c>
      <c r="D191" t="s">
        <v>69</v>
      </c>
      <c r="E191">
        <v>5200</v>
      </c>
      <c r="F191" t="s">
        <v>315</v>
      </c>
    </row>
    <row r="192" spans="1:6" x14ac:dyDescent="0.25">
      <c r="A192" t="s">
        <v>325</v>
      </c>
      <c r="B192" t="s">
        <v>60</v>
      </c>
      <c r="C192" s="23">
        <v>46266</v>
      </c>
      <c r="D192" t="s">
        <v>69</v>
      </c>
      <c r="E192">
        <v>6800</v>
      </c>
      <c r="F192" t="s">
        <v>315</v>
      </c>
    </row>
    <row r="193" spans="1:6" hidden="1" x14ac:dyDescent="0.25">
      <c r="A193" t="s">
        <v>326</v>
      </c>
      <c r="B193" t="s">
        <v>64</v>
      </c>
      <c r="C193" s="23">
        <v>46266</v>
      </c>
      <c r="D193" t="s">
        <v>69</v>
      </c>
      <c r="E193">
        <v>6800</v>
      </c>
      <c r="F193" t="s">
        <v>315</v>
      </c>
    </row>
    <row r="194" spans="1:6" hidden="1" x14ac:dyDescent="0.25">
      <c r="A194" t="s">
        <v>327</v>
      </c>
      <c r="B194" t="s">
        <v>10</v>
      </c>
      <c r="C194" s="23">
        <v>46266</v>
      </c>
      <c r="D194" t="s">
        <v>75</v>
      </c>
      <c r="E194">
        <v>4500</v>
      </c>
      <c r="F194" t="s">
        <v>328</v>
      </c>
    </row>
    <row r="195" spans="1:6" hidden="1" x14ac:dyDescent="0.25">
      <c r="A195" t="s">
        <v>329</v>
      </c>
      <c r="B195" t="s">
        <v>16</v>
      </c>
      <c r="C195" s="23">
        <v>46266</v>
      </c>
      <c r="D195" t="s">
        <v>75</v>
      </c>
      <c r="E195">
        <v>6000</v>
      </c>
      <c r="F195" t="s">
        <v>328</v>
      </c>
    </row>
    <row r="196" spans="1:6" hidden="1" x14ac:dyDescent="0.25">
      <c r="A196" t="s">
        <v>330</v>
      </c>
      <c r="B196" t="s">
        <v>21</v>
      </c>
      <c r="C196" s="23">
        <v>46266</v>
      </c>
      <c r="D196" t="s">
        <v>75</v>
      </c>
      <c r="E196">
        <v>5200</v>
      </c>
      <c r="F196" t="s">
        <v>328</v>
      </c>
    </row>
    <row r="197" spans="1:6" hidden="1" x14ac:dyDescent="0.25">
      <c r="A197" t="s">
        <v>331</v>
      </c>
      <c r="B197" t="s">
        <v>26</v>
      </c>
      <c r="C197" s="23">
        <v>46266</v>
      </c>
      <c r="D197" t="s">
        <v>75</v>
      </c>
      <c r="E197">
        <v>4500</v>
      </c>
      <c r="F197" t="s">
        <v>328</v>
      </c>
    </row>
    <row r="198" spans="1:6" hidden="1" x14ac:dyDescent="0.25">
      <c r="A198" t="s">
        <v>332</v>
      </c>
      <c r="B198" t="s">
        <v>31</v>
      </c>
      <c r="C198" s="23">
        <v>46266</v>
      </c>
      <c r="D198" t="s">
        <v>75</v>
      </c>
      <c r="E198">
        <v>4500</v>
      </c>
      <c r="F198" t="s">
        <v>328</v>
      </c>
    </row>
    <row r="199" spans="1:6" hidden="1" x14ac:dyDescent="0.25">
      <c r="A199" t="s">
        <v>333</v>
      </c>
      <c r="B199" t="s">
        <v>36</v>
      </c>
      <c r="C199" s="23">
        <v>46266</v>
      </c>
      <c r="D199" t="s">
        <v>75</v>
      </c>
      <c r="E199">
        <v>6800</v>
      </c>
      <c r="F199" t="s">
        <v>328</v>
      </c>
    </row>
    <row r="200" spans="1:6" hidden="1" x14ac:dyDescent="0.25">
      <c r="A200" t="s">
        <v>334</v>
      </c>
      <c r="B200" t="s">
        <v>41</v>
      </c>
      <c r="C200" s="23">
        <v>46285</v>
      </c>
      <c r="D200" t="s">
        <v>75</v>
      </c>
      <c r="E200">
        <v>4500</v>
      </c>
      <c r="F200" t="s">
        <v>328</v>
      </c>
    </row>
    <row r="201" spans="1:6" hidden="1" x14ac:dyDescent="0.25">
      <c r="A201" t="s">
        <v>335</v>
      </c>
      <c r="B201" t="s">
        <v>46</v>
      </c>
      <c r="C201" s="23">
        <v>46285</v>
      </c>
      <c r="D201" t="s">
        <v>75</v>
      </c>
      <c r="E201">
        <v>5200</v>
      </c>
      <c r="F201" t="s">
        <v>328</v>
      </c>
    </row>
    <row r="202" spans="1:6" hidden="1" x14ac:dyDescent="0.25">
      <c r="A202" t="s">
        <v>336</v>
      </c>
      <c r="B202" t="s">
        <v>51</v>
      </c>
      <c r="C202" s="23">
        <v>46285</v>
      </c>
      <c r="D202" t="s">
        <v>75</v>
      </c>
      <c r="E202">
        <v>4500</v>
      </c>
      <c r="F202" t="s">
        <v>337</v>
      </c>
    </row>
    <row r="203" spans="1:6" hidden="1" x14ac:dyDescent="0.25">
      <c r="A203" t="s">
        <v>338</v>
      </c>
      <c r="B203" t="s">
        <v>56</v>
      </c>
      <c r="C203" s="23">
        <v>46286</v>
      </c>
      <c r="D203" t="s">
        <v>75</v>
      </c>
      <c r="E203">
        <v>5200</v>
      </c>
      <c r="F203" t="s">
        <v>337</v>
      </c>
    </row>
    <row r="204" spans="1:6" x14ac:dyDescent="0.25">
      <c r="A204" t="s">
        <v>339</v>
      </c>
      <c r="B204" t="s">
        <v>60</v>
      </c>
      <c r="C204" s="23">
        <v>46287</v>
      </c>
      <c r="D204" t="s">
        <v>75</v>
      </c>
      <c r="E204">
        <v>4500</v>
      </c>
      <c r="F204" t="s">
        <v>340</v>
      </c>
    </row>
    <row r="205" spans="1:6" hidden="1" x14ac:dyDescent="0.25">
      <c r="A205" t="s">
        <v>341</v>
      </c>
      <c r="B205" t="s">
        <v>64</v>
      </c>
      <c r="C205" s="23">
        <v>46287</v>
      </c>
      <c r="D205" t="s">
        <v>75</v>
      </c>
      <c r="E205">
        <v>4500</v>
      </c>
      <c r="F205" t="s">
        <v>340</v>
      </c>
    </row>
    <row r="206" spans="1:6" hidden="1" x14ac:dyDescent="0.25">
      <c r="A206" t="s">
        <v>342</v>
      </c>
      <c r="B206" t="s">
        <v>10</v>
      </c>
      <c r="C206" s="23">
        <v>46296</v>
      </c>
      <c r="D206" t="s">
        <v>69</v>
      </c>
      <c r="E206">
        <v>4500</v>
      </c>
      <c r="F206" t="s">
        <v>343</v>
      </c>
    </row>
    <row r="207" spans="1:6" hidden="1" x14ac:dyDescent="0.25">
      <c r="A207" t="s">
        <v>344</v>
      </c>
      <c r="B207" t="s">
        <v>16</v>
      </c>
      <c r="C207" s="23">
        <v>46296</v>
      </c>
      <c r="D207" t="s">
        <v>69</v>
      </c>
      <c r="E207">
        <v>6000</v>
      </c>
      <c r="F207" t="s">
        <v>343</v>
      </c>
    </row>
    <row r="208" spans="1:6" hidden="1" x14ac:dyDescent="0.25">
      <c r="A208" t="s">
        <v>345</v>
      </c>
      <c r="B208" t="s">
        <v>21</v>
      </c>
      <c r="C208" s="23">
        <v>46296</v>
      </c>
      <c r="D208" t="s">
        <v>69</v>
      </c>
      <c r="E208">
        <v>5200</v>
      </c>
      <c r="F208" t="s">
        <v>343</v>
      </c>
    </row>
    <row r="209" spans="1:6" hidden="1" x14ac:dyDescent="0.25">
      <c r="A209" t="s">
        <v>346</v>
      </c>
      <c r="B209" t="s">
        <v>26</v>
      </c>
      <c r="C209" s="23">
        <v>46296</v>
      </c>
      <c r="D209" t="s">
        <v>69</v>
      </c>
      <c r="E209">
        <v>4500</v>
      </c>
      <c r="F209" t="s">
        <v>343</v>
      </c>
    </row>
    <row r="210" spans="1:6" hidden="1" x14ac:dyDescent="0.25">
      <c r="A210" t="s">
        <v>347</v>
      </c>
      <c r="B210" t="s">
        <v>31</v>
      </c>
      <c r="C210" s="23">
        <v>46296</v>
      </c>
      <c r="D210" t="s">
        <v>69</v>
      </c>
      <c r="E210">
        <v>4500</v>
      </c>
      <c r="F210" t="s">
        <v>343</v>
      </c>
    </row>
    <row r="211" spans="1:6" hidden="1" x14ac:dyDescent="0.25">
      <c r="A211" t="s">
        <v>348</v>
      </c>
      <c r="B211" t="s">
        <v>36</v>
      </c>
      <c r="C211" s="23">
        <v>46296</v>
      </c>
      <c r="D211" t="s">
        <v>69</v>
      </c>
      <c r="E211">
        <v>6800</v>
      </c>
      <c r="F211" t="s">
        <v>343</v>
      </c>
    </row>
    <row r="212" spans="1:6" hidden="1" x14ac:dyDescent="0.25">
      <c r="A212" t="s">
        <v>349</v>
      </c>
      <c r="B212" t="s">
        <v>41</v>
      </c>
      <c r="C212" s="23">
        <v>46296</v>
      </c>
      <c r="D212" t="s">
        <v>69</v>
      </c>
      <c r="E212">
        <v>4500</v>
      </c>
      <c r="F212" t="s">
        <v>343</v>
      </c>
    </row>
    <row r="213" spans="1:6" hidden="1" x14ac:dyDescent="0.25">
      <c r="A213" t="s">
        <v>350</v>
      </c>
      <c r="B213" t="s">
        <v>46</v>
      </c>
      <c r="C213" s="23">
        <v>46296</v>
      </c>
      <c r="D213" t="s">
        <v>69</v>
      </c>
      <c r="E213">
        <v>5200</v>
      </c>
      <c r="F213" t="s">
        <v>343</v>
      </c>
    </row>
    <row r="214" spans="1:6" hidden="1" x14ac:dyDescent="0.25">
      <c r="A214" t="s">
        <v>363</v>
      </c>
      <c r="B214" t="s">
        <v>46</v>
      </c>
      <c r="C214" s="23">
        <v>46315</v>
      </c>
      <c r="D214" t="s">
        <v>75</v>
      </c>
      <c r="E214">
        <v>5200</v>
      </c>
      <c r="F214" t="s">
        <v>356</v>
      </c>
    </row>
    <row r="215" spans="1:6" hidden="1" x14ac:dyDescent="0.25">
      <c r="A215" t="s">
        <v>352</v>
      </c>
      <c r="B215" t="s">
        <v>56</v>
      </c>
      <c r="C215" s="23">
        <v>46296</v>
      </c>
      <c r="D215" t="s">
        <v>69</v>
      </c>
      <c r="E215">
        <v>5200</v>
      </c>
      <c r="F215" t="s">
        <v>343</v>
      </c>
    </row>
    <row r="216" spans="1:6" x14ac:dyDescent="0.25">
      <c r="A216" t="s">
        <v>353</v>
      </c>
      <c r="B216" t="s">
        <v>60</v>
      </c>
      <c r="C216" s="23">
        <v>46296</v>
      </c>
      <c r="D216" t="s">
        <v>69</v>
      </c>
      <c r="E216">
        <v>6800</v>
      </c>
      <c r="F216" t="s">
        <v>343</v>
      </c>
    </row>
    <row r="217" spans="1:6" hidden="1" x14ac:dyDescent="0.25">
      <c r="A217" t="s">
        <v>354</v>
      </c>
      <c r="B217" t="s">
        <v>64</v>
      </c>
      <c r="C217" s="23">
        <v>46296</v>
      </c>
      <c r="D217" t="s">
        <v>69</v>
      </c>
      <c r="E217">
        <v>6800</v>
      </c>
      <c r="F217" t="s">
        <v>343</v>
      </c>
    </row>
    <row r="218" spans="1:6" hidden="1" x14ac:dyDescent="0.25">
      <c r="A218" t="s">
        <v>355</v>
      </c>
      <c r="B218" t="s">
        <v>10</v>
      </c>
      <c r="C218" s="23">
        <v>46296</v>
      </c>
      <c r="D218" t="s">
        <v>75</v>
      </c>
      <c r="E218">
        <v>4500</v>
      </c>
      <c r="F218" t="s">
        <v>356</v>
      </c>
    </row>
    <row r="219" spans="1:6" hidden="1" x14ac:dyDescent="0.25">
      <c r="A219" t="s">
        <v>357</v>
      </c>
      <c r="B219" t="s">
        <v>16</v>
      </c>
      <c r="C219" s="23">
        <v>46296</v>
      </c>
      <c r="D219" t="s">
        <v>75</v>
      </c>
      <c r="E219">
        <v>6000</v>
      </c>
      <c r="F219" t="s">
        <v>356</v>
      </c>
    </row>
    <row r="220" spans="1:6" hidden="1" x14ac:dyDescent="0.25">
      <c r="A220" t="s">
        <v>358</v>
      </c>
      <c r="B220" t="s">
        <v>21</v>
      </c>
      <c r="C220" s="23">
        <v>46296</v>
      </c>
      <c r="D220" t="s">
        <v>75</v>
      </c>
      <c r="E220">
        <v>5200</v>
      </c>
      <c r="F220" t="s">
        <v>356</v>
      </c>
    </row>
    <row r="221" spans="1:6" hidden="1" x14ac:dyDescent="0.25">
      <c r="A221" t="s">
        <v>359</v>
      </c>
      <c r="B221" t="s">
        <v>26</v>
      </c>
      <c r="C221" s="23">
        <v>46296</v>
      </c>
      <c r="D221" t="s">
        <v>75</v>
      </c>
      <c r="E221">
        <v>4500</v>
      </c>
      <c r="F221" t="s">
        <v>356</v>
      </c>
    </row>
    <row r="222" spans="1:6" hidden="1" x14ac:dyDescent="0.25">
      <c r="A222" t="s">
        <v>360</v>
      </c>
      <c r="B222" t="s">
        <v>31</v>
      </c>
      <c r="C222" s="23">
        <v>46296</v>
      </c>
      <c r="D222" t="s">
        <v>75</v>
      </c>
      <c r="E222">
        <v>4500</v>
      </c>
      <c r="F222" t="s">
        <v>356</v>
      </c>
    </row>
    <row r="223" spans="1:6" hidden="1" x14ac:dyDescent="0.25">
      <c r="A223" t="s">
        <v>361</v>
      </c>
      <c r="B223" t="s">
        <v>36</v>
      </c>
      <c r="C223" s="23">
        <v>46296</v>
      </c>
      <c r="D223" t="s">
        <v>75</v>
      </c>
      <c r="E223">
        <v>6800</v>
      </c>
      <c r="F223" t="s">
        <v>356</v>
      </c>
    </row>
    <row r="224" spans="1:6" hidden="1" x14ac:dyDescent="0.25">
      <c r="A224" t="s">
        <v>362</v>
      </c>
      <c r="B224" t="s">
        <v>41</v>
      </c>
      <c r="C224" s="23">
        <v>46315</v>
      </c>
      <c r="D224" t="s">
        <v>75</v>
      </c>
      <c r="E224">
        <v>4500</v>
      </c>
      <c r="F224" t="s">
        <v>356</v>
      </c>
    </row>
    <row r="225" spans="1:6" hidden="1" x14ac:dyDescent="0.25">
      <c r="A225" t="s">
        <v>377</v>
      </c>
      <c r="B225" t="s">
        <v>46</v>
      </c>
      <c r="C225" s="23">
        <v>46327</v>
      </c>
      <c r="D225" t="s">
        <v>69</v>
      </c>
      <c r="E225">
        <v>5200</v>
      </c>
      <c r="F225" t="s">
        <v>370</v>
      </c>
    </row>
    <row r="226" spans="1:6" hidden="1" x14ac:dyDescent="0.25">
      <c r="A226" t="s">
        <v>390</v>
      </c>
      <c r="B226" t="s">
        <v>46</v>
      </c>
      <c r="C226" s="23">
        <v>46351</v>
      </c>
      <c r="D226" t="s">
        <v>75</v>
      </c>
      <c r="E226">
        <v>5200</v>
      </c>
      <c r="F226" t="s">
        <v>383</v>
      </c>
    </row>
    <row r="227" spans="1:6" hidden="1" x14ac:dyDescent="0.25">
      <c r="A227" t="s">
        <v>353</v>
      </c>
      <c r="B227" t="s">
        <v>56</v>
      </c>
      <c r="C227" s="23">
        <v>46303</v>
      </c>
      <c r="D227" t="s">
        <v>75</v>
      </c>
      <c r="E227">
        <v>5200</v>
      </c>
      <c r="F227" t="s">
        <v>356</v>
      </c>
    </row>
    <row r="228" spans="1:6" hidden="1" x14ac:dyDescent="0.25">
      <c r="A228" t="s">
        <v>365</v>
      </c>
      <c r="B228" t="s">
        <v>56</v>
      </c>
      <c r="C228" s="23">
        <v>46315</v>
      </c>
      <c r="D228" t="s">
        <v>75</v>
      </c>
      <c r="E228">
        <v>5200</v>
      </c>
      <c r="F228" t="s">
        <v>356</v>
      </c>
    </row>
    <row r="229" spans="1:6" x14ac:dyDescent="0.25">
      <c r="A229" t="s">
        <v>366</v>
      </c>
      <c r="B229" t="s">
        <v>60</v>
      </c>
      <c r="C229" s="23">
        <v>46315</v>
      </c>
      <c r="D229" t="s">
        <v>75</v>
      </c>
      <c r="E229">
        <v>6800</v>
      </c>
      <c r="F229" t="s">
        <v>367</v>
      </c>
    </row>
    <row r="230" spans="1:6" hidden="1" x14ac:dyDescent="0.25">
      <c r="A230" t="s">
        <v>368</v>
      </c>
      <c r="B230" t="s">
        <v>64</v>
      </c>
      <c r="C230" s="23">
        <v>46315</v>
      </c>
      <c r="D230" t="s">
        <v>75</v>
      </c>
      <c r="E230">
        <v>6800</v>
      </c>
      <c r="F230" t="s">
        <v>367</v>
      </c>
    </row>
    <row r="231" spans="1:6" hidden="1" x14ac:dyDescent="0.25">
      <c r="A231" t="s">
        <v>369</v>
      </c>
      <c r="B231" t="s">
        <v>10</v>
      </c>
      <c r="C231" s="23">
        <v>46327</v>
      </c>
      <c r="D231" t="s">
        <v>69</v>
      </c>
      <c r="E231">
        <v>4500</v>
      </c>
      <c r="F231" t="s">
        <v>370</v>
      </c>
    </row>
    <row r="232" spans="1:6" hidden="1" x14ac:dyDescent="0.25">
      <c r="A232" t="s">
        <v>371</v>
      </c>
      <c r="B232" t="s">
        <v>16</v>
      </c>
      <c r="C232" s="23">
        <v>46327</v>
      </c>
      <c r="D232" t="s">
        <v>69</v>
      </c>
      <c r="E232">
        <v>6000</v>
      </c>
      <c r="F232" t="s">
        <v>370</v>
      </c>
    </row>
    <row r="233" spans="1:6" hidden="1" x14ac:dyDescent="0.25">
      <c r="A233" t="s">
        <v>372</v>
      </c>
      <c r="B233" t="s">
        <v>21</v>
      </c>
      <c r="C233" s="23">
        <v>46327</v>
      </c>
      <c r="D233" t="s">
        <v>69</v>
      </c>
      <c r="E233">
        <v>5200</v>
      </c>
      <c r="F233" t="s">
        <v>370</v>
      </c>
    </row>
    <row r="234" spans="1:6" hidden="1" x14ac:dyDescent="0.25">
      <c r="A234" t="s">
        <v>373</v>
      </c>
      <c r="B234" t="s">
        <v>26</v>
      </c>
      <c r="C234" s="23">
        <v>46327</v>
      </c>
      <c r="D234" t="s">
        <v>69</v>
      </c>
      <c r="E234">
        <v>4500</v>
      </c>
      <c r="F234" t="s">
        <v>370</v>
      </c>
    </row>
    <row r="235" spans="1:6" hidden="1" x14ac:dyDescent="0.25">
      <c r="A235" t="s">
        <v>374</v>
      </c>
      <c r="B235" t="s">
        <v>31</v>
      </c>
      <c r="C235" s="23">
        <v>46327</v>
      </c>
      <c r="D235" t="s">
        <v>69</v>
      </c>
      <c r="E235">
        <v>4500</v>
      </c>
      <c r="F235" t="s">
        <v>370</v>
      </c>
    </row>
    <row r="236" spans="1:6" hidden="1" x14ac:dyDescent="0.25">
      <c r="A236" t="s">
        <v>375</v>
      </c>
      <c r="B236" t="s">
        <v>36</v>
      </c>
      <c r="C236" s="23">
        <v>46327</v>
      </c>
      <c r="D236" t="s">
        <v>69</v>
      </c>
      <c r="E236">
        <v>6800</v>
      </c>
      <c r="F236" t="s">
        <v>370</v>
      </c>
    </row>
    <row r="237" spans="1:6" hidden="1" x14ac:dyDescent="0.25">
      <c r="A237" t="s">
        <v>376</v>
      </c>
      <c r="B237" t="s">
        <v>41</v>
      </c>
      <c r="C237" s="23">
        <v>46327</v>
      </c>
      <c r="D237" t="s">
        <v>69</v>
      </c>
      <c r="E237">
        <v>4500</v>
      </c>
      <c r="F237" t="s">
        <v>370</v>
      </c>
    </row>
    <row r="238" spans="1:6" hidden="1" x14ac:dyDescent="0.25">
      <c r="A238" t="s">
        <v>403</v>
      </c>
      <c r="B238" t="s">
        <v>46</v>
      </c>
      <c r="C238" s="23">
        <v>46357</v>
      </c>
      <c r="D238" t="s">
        <v>69</v>
      </c>
      <c r="E238">
        <v>5200</v>
      </c>
      <c r="F238" t="s">
        <v>396</v>
      </c>
    </row>
    <row r="239" spans="1:6" hidden="1" x14ac:dyDescent="0.25">
      <c r="A239" t="s">
        <v>416</v>
      </c>
      <c r="B239" t="s">
        <v>46</v>
      </c>
      <c r="C239" s="23">
        <v>46361</v>
      </c>
      <c r="D239" t="s">
        <v>75</v>
      </c>
      <c r="E239">
        <v>5200</v>
      </c>
      <c r="F239" t="s">
        <v>409</v>
      </c>
    </row>
    <row r="240" spans="1:6" hidden="1" x14ac:dyDescent="0.25">
      <c r="A240" t="s">
        <v>379</v>
      </c>
      <c r="B240" t="s">
        <v>56</v>
      </c>
      <c r="C240" s="23">
        <v>46327</v>
      </c>
      <c r="D240" t="s">
        <v>69</v>
      </c>
      <c r="E240">
        <v>5200</v>
      </c>
      <c r="F240" t="s">
        <v>370</v>
      </c>
    </row>
    <row r="241" spans="1:6" x14ac:dyDescent="0.25">
      <c r="A241" t="s">
        <v>380</v>
      </c>
      <c r="B241" t="s">
        <v>60</v>
      </c>
      <c r="C241" s="23">
        <v>46327</v>
      </c>
      <c r="D241" t="s">
        <v>69</v>
      </c>
      <c r="E241">
        <v>6800</v>
      </c>
      <c r="F241" t="s">
        <v>370</v>
      </c>
    </row>
    <row r="242" spans="1:6" hidden="1" x14ac:dyDescent="0.25">
      <c r="A242" t="s">
        <v>381</v>
      </c>
      <c r="B242" t="s">
        <v>64</v>
      </c>
      <c r="C242" s="23">
        <v>46327</v>
      </c>
      <c r="D242" t="s">
        <v>69</v>
      </c>
      <c r="E242">
        <v>6800</v>
      </c>
      <c r="F242" t="s">
        <v>370</v>
      </c>
    </row>
    <row r="243" spans="1:6" hidden="1" x14ac:dyDescent="0.25">
      <c r="A243" t="s">
        <v>382</v>
      </c>
      <c r="B243" t="s">
        <v>10</v>
      </c>
      <c r="C243" s="23">
        <v>46327</v>
      </c>
      <c r="D243" t="s">
        <v>75</v>
      </c>
      <c r="E243">
        <v>4500</v>
      </c>
      <c r="F243" t="s">
        <v>383</v>
      </c>
    </row>
    <row r="244" spans="1:6" hidden="1" x14ac:dyDescent="0.25">
      <c r="A244" t="s">
        <v>384</v>
      </c>
      <c r="B244" t="s">
        <v>16</v>
      </c>
      <c r="C244" s="23">
        <v>46327</v>
      </c>
      <c r="D244" t="s">
        <v>75</v>
      </c>
      <c r="E244">
        <v>6000</v>
      </c>
      <c r="F244" t="s">
        <v>383</v>
      </c>
    </row>
    <row r="245" spans="1:6" hidden="1" x14ac:dyDescent="0.25">
      <c r="A245" t="s">
        <v>385</v>
      </c>
      <c r="B245" t="s">
        <v>21</v>
      </c>
      <c r="C245" s="23">
        <v>46327</v>
      </c>
      <c r="D245" t="s">
        <v>75</v>
      </c>
      <c r="E245">
        <v>5200</v>
      </c>
      <c r="F245" t="s">
        <v>383</v>
      </c>
    </row>
    <row r="246" spans="1:6" hidden="1" x14ac:dyDescent="0.25">
      <c r="A246" t="s">
        <v>386</v>
      </c>
      <c r="B246" t="s">
        <v>26</v>
      </c>
      <c r="C246" s="23">
        <v>46327</v>
      </c>
      <c r="D246" t="s">
        <v>75</v>
      </c>
      <c r="E246">
        <v>4500</v>
      </c>
      <c r="F246" t="s">
        <v>383</v>
      </c>
    </row>
    <row r="247" spans="1:6" hidden="1" x14ac:dyDescent="0.25">
      <c r="A247" t="s">
        <v>387</v>
      </c>
      <c r="B247" t="s">
        <v>31</v>
      </c>
      <c r="C247" s="23">
        <v>46327</v>
      </c>
      <c r="D247" t="s">
        <v>75</v>
      </c>
      <c r="E247">
        <v>4500</v>
      </c>
      <c r="F247" t="s">
        <v>383</v>
      </c>
    </row>
    <row r="248" spans="1:6" hidden="1" x14ac:dyDescent="0.25">
      <c r="A248" t="s">
        <v>388</v>
      </c>
      <c r="B248" t="s">
        <v>36</v>
      </c>
      <c r="C248" s="23">
        <v>46327</v>
      </c>
      <c r="D248" t="s">
        <v>75</v>
      </c>
      <c r="E248">
        <v>6800</v>
      </c>
      <c r="F248" t="s">
        <v>383</v>
      </c>
    </row>
    <row r="249" spans="1:6" hidden="1" x14ac:dyDescent="0.25">
      <c r="A249" t="s">
        <v>389</v>
      </c>
      <c r="B249" t="s">
        <v>41</v>
      </c>
      <c r="C249" s="23">
        <v>46351</v>
      </c>
      <c r="D249" t="s">
        <v>75</v>
      </c>
      <c r="E249">
        <v>4500</v>
      </c>
      <c r="F249" t="s">
        <v>383</v>
      </c>
    </row>
    <row r="250" spans="1:6" hidden="1" x14ac:dyDescent="0.25">
      <c r="A250" t="s">
        <v>351</v>
      </c>
      <c r="B250" t="s">
        <v>51</v>
      </c>
      <c r="C250" s="23">
        <v>46296</v>
      </c>
      <c r="D250" t="s">
        <v>69</v>
      </c>
      <c r="E250">
        <v>4500</v>
      </c>
      <c r="F250" t="s">
        <v>343</v>
      </c>
    </row>
    <row r="251" spans="1:6" hidden="1" x14ac:dyDescent="0.25">
      <c r="A251" t="s">
        <v>364</v>
      </c>
      <c r="B251" t="s">
        <v>51</v>
      </c>
      <c r="C251" s="23">
        <v>46315</v>
      </c>
      <c r="D251" t="s">
        <v>75</v>
      </c>
      <c r="E251">
        <v>4500</v>
      </c>
      <c r="F251" t="s">
        <v>356</v>
      </c>
    </row>
    <row r="252" spans="1:6" hidden="1" x14ac:dyDescent="0.25">
      <c r="A252" t="s">
        <v>392</v>
      </c>
      <c r="B252" t="s">
        <v>56</v>
      </c>
      <c r="C252" s="23">
        <v>46351</v>
      </c>
      <c r="D252" t="s">
        <v>75</v>
      </c>
      <c r="E252">
        <v>5200</v>
      </c>
      <c r="F252" t="s">
        <v>383</v>
      </c>
    </row>
    <row r="253" spans="1:6" x14ac:dyDescent="0.25">
      <c r="A253" t="s">
        <v>393</v>
      </c>
      <c r="B253" t="s">
        <v>60</v>
      </c>
      <c r="C253" s="23">
        <v>46351</v>
      </c>
      <c r="D253" t="s">
        <v>75</v>
      </c>
      <c r="E253">
        <v>6800</v>
      </c>
      <c r="F253" t="s">
        <v>383</v>
      </c>
    </row>
    <row r="254" spans="1:6" hidden="1" x14ac:dyDescent="0.25">
      <c r="A254" t="s">
        <v>394</v>
      </c>
      <c r="B254" t="s">
        <v>64</v>
      </c>
      <c r="C254" s="23">
        <v>46351</v>
      </c>
      <c r="D254" t="s">
        <v>75</v>
      </c>
      <c r="E254">
        <v>6800</v>
      </c>
      <c r="F254" t="s">
        <v>383</v>
      </c>
    </row>
    <row r="255" spans="1:6" hidden="1" x14ac:dyDescent="0.25">
      <c r="A255" t="s">
        <v>395</v>
      </c>
      <c r="B255" t="s">
        <v>10</v>
      </c>
      <c r="C255" s="23">
        <v>46357</v>
      </c>
      <c r="D255" t="s">
        <v>69</v>
      </c>
      <c r="E255">
        <v>4500</v>
      </c>
      <c r="F255" t="s">
        <v>396</v>
      </c>
    </row>
    <row r="256" spans="1:6" hidden="1" x14ac:dyDescent="0.25">
      <c r="A256" t="s">
        <v>397</v>
      </c>
      <c r="B256" t="s">
        <v>16</v>
      </c>
      <c r="C256" s="23">
        <v>46357</v>
      </c>
      <c r="D256" t="s">
        <v>69</v>
      </c>
      <c r="E256">
        <v>6000</v>
      </c>
      <c r="F256" t="s">
        <v>396</v>
      </c>
    </row>
    <row r="257" spans="1:6" hidden="1" x14ac:dyDescent="0.25">
      <c r="A257" t="s">
        <v>398</v>
      </c>
      <c r="B257" t="s">
        <v>21</v>
      </c>
      <c r="C257" s="23">
        <v>46357</v>
      </c>
      <c r="D257" t="s">
        <v>69</v>
      </c>
      <c r="E257">
        <v>5200</v>
      </c>
      <c r="F257" t="s">
        <v>396</v>
      </c>
    </row>
    <row r="258" spans="1:6" hidden="1" x14ac:dyDescent="0.25">
      <c r="A258" t="s">
        <v>399</v>
      </c>
      <c r="B258" t="s">
        <v>26</v>
      </c>
      <c r="C258" s="23">
        <v>46357</v>
      </c>
      <c r="D258" t="s">
        <v>69</v>
      </c>
      <c r="E258">
        <v>4500</v>
      </c>
      <c r="F258" t="s">
        <v>396</v>
      </c>
    </row>
    <row r="259" spans="1:6" hidden="1" x14ac:dyDescent="0.25">
      <c r="A259" t="s">
        <v>400</v>
      </c>
      <c r="B259" t="s">
        <v>31</v>
      </c>
      <c r="C259" s="23">
        <v>46357</v>
      </c>
      <c r="D259" t="s">
        <v>69</v>
      </c>
      <c r="E259">
        <v>4500</v>
      </c>
      <c r="F259" t="s">
        <v>396</v>
      </c>
    </row>
    <row r="260" spans="1:6" hidden="1" x14ac:dyDescent="0.25">
      <c r="A260" t="s">
        <v>401</v>
      </c>
      <c r="B260" t="s">
        <v>36</v>
      </c>
      <c r="C260" s="23">
        <v>46357</v>
      </c>
      <c r="D260" t="s">
        <v>69</v>
      </c>
      <c r="E260">
        <v>6800</v>
      </c>
      <c r="F260" t="s">
        <v>396</v>
      </c>
    </row>
    <row r="261" spans="1:6" hidden="1" x14ac:dyDescent="0.25">
      <c r="A261" t="s">
        <v>402</v>
      </c>
      <c r="B261" t="s">
        <v>41</v>
      </c>
      <c r="C261" s="23">
        <v>46357</v>
      </c>
      <c r="D261" t="s">
        <v>69</v>
      </c>
      <c r="E261">
        <v>4500</v>
      </c>
      <c r="F261" t="s">
        <v>396</v>
      </c>
    </row>
    <row r="262" spans="1:6" hidden="1" x14ac:dyDescent="0.25">
      <c r="A262" t="s">
        <v>378</v>
      </c>
      <c r="B262" t="s">
        <v>51</v>
      </c>
      <c r="C262" s="23">
        <v>46327</v>
      </c>
      <c r="D262" t="s">
        <v>69</v>
      </c>
      <c r="E262">
        <v>4500</v>
      </c>
      <c r="F262" t="s">
        <v>370</v>
      </c>
    </row>
    <row r="263" spans="1:6" hidden="1" x14ac:dyDescent="0.25">
      <c r="A263" t="s">
        <v>391</v>
      </c>
      <c r="B263" t="s">
        <v>51</v>
      </c>
      <c r="C263" s="23">
        <v>46351</v>
      </c>
      <c r="D263" t="s">
        <v>75</v>
      </c>
      <c r="E263">
        <v>9000</v>
      </c>
      <c r="F263" t="s">
        <v>383</v>
      </c>
    </row>
    <row r="264" spans="1:6" hidden="1" x14ac:dyDescent="0.25">
      <c r="A264" t="s">
        <v>405</v>
      </c>
      <c r="B264" t="s">
        <v>56</v>
      </c>
      <c r="C264" s="23">
        <v>46357</v>
      </c>
      <c r="D264" t="s">
        <v>69</v>
      </c>
      <c r="E264">
        <v>5200</v>
      </c>
      <c r="F264" t="s">
        <v>396</v>
      </c>
    </row>
    <row r="265" spans="1:6" x14ac:dyDescent="0.25">
      <c r="A265" t="s">
        <v>406</v>
      </c>
      <c r="B265" t="s">
        <v>60</v>
      </c>
      <c r="C265" s="23">
        <v>46357</v>
      </c>
      <c r="D265" t="s">
        <v>69</v>
      </c>
      <c r="E265">
        <v>6800</v>
      </c>
      <c r="F265" t="s">
        <v>396</v>
      </c>
    </row>
    <row r="266" spans="1:6" hidden="1" x14ac:dyDescent="0.25">
      <c r="A266" t="s">
        <v>407</v>
      </c>
      <c r="B266" t="s">
        <v>64</v>
      </c>
      <c r="C266" s="23">
        <v>46357</v>
      </c>
      <c r="D266" t="s">
        <v>69</v>
      </c>
      <c r="E266">
        <v>6800</v>
      </c>
      <c r="F266" t="s">
        <v>396</v>
      </c>
    </row>
    <row r="267" spans="1:6" hidden="1" x14ac:dyDescent="0.25">
      <c r="A267" t="s">
        <v>408</v>
      </c>
      <c r="B267" t="s">
        <v>10</v>
      </c>
      <c r="C267" s="23">
        <v>46357</v>
      </c>
      <c r="D267" t="s">
        <v>75</v>
      </c>
      <c r="E267">
        <v>4500</v>
      </c>
      <c r="F267" t="s">
        <v>409</v>
      </c>
    </row>
    <row r="268" spans="1:6" hidden="1" x14ac:dyDescent="0.25">
      <c r="A268" t="s">
        <v>410</v>
      </c>
      <c r="B268" t="s">
        <v>16</v>
      </c>
      <c r="C268" s="23">
        <v>46357</v>
      </c>
      <c r="D268" t="s">
        <v>75</v>
      </c>
      <c r="E268">
        <v>6000</v>
      </c>
      <c r="F268" t="s">
        <v>409</v>
      </c>
    </row>
    <row r="269" spans="1:6" hidden="1" x14ac:dyDescent="0.25">
      <c r="A269" t="s">
        <v>411</v>
      </c>
      <c r="B269" t="s">
        <v>21</v>
      </c>
      <c r="C269" s="23">
        <v>46357</v>
      </c>
      <c r="D269" t="s">
        <v>75</v>
      </c>
      <c r="E269">
        <v>5200</v>
      </c>
      <c r="F269" t="s">
        <v>409</v>
      </c>
    </row>
    <row r="270" spans="1:6" hidden="1" x14ac:dyDescent="0.25">
      <c r="A270" t="s">
        <v>412</v>
      </c>
      <c r="B270" t="s">
        <v>26</v>
      </c>
      <c r="C270" s="23">
        <v>46357</v>
      </c>
      <c r="D270" t="s">
        <v>75</v>
      </c>
      <c r="E270">
        <v>4500</v>
      </c>
      <c r="F270" t="s">
        <v>409</v>
      </c>
    </row>
    <row r="271" spans="1:6" hidden="1" x14ac:dyDescent="0.25">
      <c r="A271" t="s">
        <v>413</v>
      </c>
      <c r="B271" t="s">
        <v>31</v>
      </c>
      <c r="C271" s="23">
        <v>46357</v>
      </c>
      <c r="D271" t="s">
        <v>75</v>
      </c>
      <c r="E271">
        <v>4500</v>
      </c>
      <c r="F271" t="s">
        <v>409</v>
      </c>
    </row>
    <row r="272" spans="1:6" hidden="1" x14ac:dyDescent="0.25">
      <c r="A272" t="s">
        <v>414</v>
      </c>
      <c r="B272" t="s">
        <v>36</v>
      </c>
      <c r="C272" s="23">
        <v>46357</v>
      </c>
      <c r="D272" t="s">
        <v>75</v>
      </c>
      <c r="E272">
        <v>6800</v>
      </c>
      <c r="F272" t="s">
        <v>409</v>
      </c>
    </row>
    <row r="273" spans="1:6" hidden="1" x14ac:dyDescent="0.25">
      <c r="A273" t="s">
        <v>415</v>
      </c>
      <c r="B273" t="s">
        <v>41</v>
      </c>
      <c r="C273" s="23">
        <v>46361</v>
      </c>
      <c r="D273" t="s">
        <v>75</v>
      </c>
      <c r="E273">
        <v>4500</v>
      </c>
      <c r="F273" t="s">
        <v>409</v>
      </c>
    </row>
    <row r="274" spans="1:6" hidden="1" x14ac:dyDescent="0.25">
      <c r="A274" t="s">
        <v>404</v>
      </c>
      <c r="B274" t="s">
        <v>51</v>
      </c>
      <c r="C274" s="23">
        <v>46357</v>
      </c>
      <c r="D274" t="s">
        <v>69</v>
      </c>
      <c r="E274">
        <v>4500</v>
      </c>
      <c r="F274" t="s">
        <v>396</v>
      </c>
    </row>
    <row r="275" spans="1:6" hidden="1" x14ac:dyDescent="0.25">
      <c r="A275" t="s">
        <v>417</v>
      </c>
      <c r="B275" t="s">
        <v>51</v>
      </c>
      <c r="C275" s="23">
        <v>46361</v>
      </c>
      <c r="D275" t="s">
        <v>75</v>
      </c>
      <c r="E275">
        <v>9000</v>
      </c>
      <c r="F275" t="s">
        <v>409</v>
      </c>
    </row>
    <row r="276" spans="1:6" hidden="1" x14ac:dyDescent="0.25">
      <c r="A276" t="s">
        <v>418</v>
      </c>
      <c r="B276" t="s">
        <v>56</v>
      </c>
      <c r="C276" s="23">
        <v>46361</v>
      </c>
      <c r="D276" t="s">
        <v>75</v>
      </c>
      <c r="E276">
        <v>5200</v>
      </c>
      <c r="F276" t="s">
        <v>409</v>
      </c>
    </row>
    <row r="277" spans="1:6" x14ac:dyDescent="0.25">
      <c r="A277" t="s">
        <v>419</v>
      </c>
      <c r="B277" t="s">
        <v>60</v>
      </c>
      <c r="C277" s="23">
        <v>46361</v>
      </c>
      <c r="D277" t="s">
        <v>75</v>
      </c>
      <c r="E277">
        <v>6800</v>
      </c>
      <c r="F277" t="s">
        <v>409</v>
      </c>
    </row>
    <row r="278" spans="1:6" hidden="1" x14ac:dyDescent="0.25">
      <c r="A278" t="s">
        <v>420</v>
      </c>
      <c r="B278" t="s">
        <v>64</v>
      </c>
      <c r="C278" s="23">
        <v>46361</v>
      </c>
      <c r="D278" t="s">
        <v>75</v>
      </c>
      <c r="E278">
        <v>6800</v>
      </c>
      <c r="F278" t="s">
        <v>409</v>
      </c>
    </row>
    <row r="279" spans="1:6" hidden="1" x14ac:dyDescent="0.25">
      <c r="A279" t="s">
        <v>424</v>
      </c>
      <c r="B279" t="s">
        <v>46</v>
      </c>
      <c r="C279" s="23">
        <v>46378</v>
      </c>
      <c r="D279" t="s">
        <v>75</v>
      </c>
      <c r="E279">
        <v>13000</v>
      </c>
      <c r="F279" t="s">
        <v>409</v>
      </c>
    </row>
    <row r="280" spans="1:6" hidden="1" x14ac:dyDescent="0.25">
      <c r="A280" t="s">
        <v>425</v>
      </c>
      <c r="B280" t="s">
        <v>64</v>
      </c>
      <c r="C280" s="23">
        <v>46378</v>
      </c>
      <c r="D280" t="s">
        <v>75</v>
      </c>
      <c r="E280">
        <v>23500</v>
      </c>
      <c r="F280" t="s">
        <v>409</v>
      </c>
    </row>
    <row r="281" spans="1:6" hidden="1" x14ac:dyDescent="0.25">
      <c r="A281" t="s">
        <v>415</v>
      </c>
      <c r="B281" t="s">
        <v>41</v>
      </c>
      <c r="C281" s="23">
        <v>46378</v>
      </c>
      <c r="D281" t="s">
        <v>75</v>
      </c>
      <c r="E281">
        <v>11250</v>
      </c>
      <c r="F281" t="s">
        <v>409</v>
      </c>
    </row>
    <row r="282" spans="1:6" x14ac:dyDescent="0.25">
      <c r="A282" t="s">
        <v>427</v>
      </c>
      <c r="B282" t="s">
        <v>60</v>
      </c>
      <c r="C282" s="23">
        <v>46378</v>
      </c>
      <c r="D282" t="s">
        <v>75</v>
      </c>
      <c r="E282">
        <v>23500</v>
      </c>
      <c r="F282" t="s">
        <v>409</v>
      </c>
    </row>
    <row r="283" spans="1:6" hidden="1" x14ac:dyDescent="0.25">
      <c r="A283" t="s">
        <v>426</v>
      </c>
      <c r="B283" t="s">
        <v>51</v>
      </c>
      <c r="C283" s="23">
        <v>46378</v>
      </c>
      <c r="D283" t="s">
        <v>75</v>
      </c>
      <c r="E283">
        <v>2250</v>
      </c>
      <c r="F283" t="s">
        <v>409</v>
      </c>
    </row>
    <row r="284" spans="1:6" hidden="1" x14ac:dyDescent="0.25">
      <c r="A284" t="s">
        <v>418</v>
      </c>
      <c r="B284" t="s">
        <v>56</v>
      </c>
      <c r="C284" s="23">
        <v>46378</v>
      </c>
      <c r="D284" t="s">
        <v>75</v>
      </c>
      <c r="E284">
        <v>7800</v>
      </c>
      <c r="F284" t="s">
        <v>409</v>
      </c>
    </row>
  </sheetData>
  <dataValidations count="5">
    <dataValidation type="custom" allowBlank="1" showInputMessage="1" showErrorMessage="1" sqref="C1 A1" xr:uid="{F84998A1-F0B3-425B-8174-F5FC292B5889}">
      <formula1>"Entry_Date"</formula1>
    </dataValidation>
    <dataValidation type="custom" allowBlank="1" showInputMessage="1" showErrorMessage="1" sqref="B1" xr:uid="{9CB97B87-893E-47A4-BDC1-F5E9CCED85D7}">
      <formula1>"Lease_ID"</formula1>
    </dataValidation>
    <dataValidation type="custom" allowBlank="1" showInputMessage="1" showErrorMessage="1" sqref="D1" xr:uid="{4E41152E-159B-4BC8-963A-6ADFC3C7929E}">
      <formula1>"Entry_Type"</formula1>
    </dataValidation>
    <dataValidation type="custom" allowBlank="1" showInputMessage="1" showErrorMessage="1" sqref="E1" xr:uid="{28ECD9B2-A396-48E4-8A9C-5A7E12172544}">
      <formula1>"Amount"</formula1>
    </dataValidation>
    <dataValidation type="custom" allowBlank="1" showInputMessage="1" showErrorMessage="1" sqref="F1" xr:uid="{56419BC1-AF3E-4FF6-ADC0-3121893012A2}">
      <formula1>"""Reference"""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A786-5B87-477B-8EE6-7FD43B25928E}">
  <dimension ref="A1:R20"/>
  <sheetViews>
    <sheetView workbookViewId="0">
      <selection activeCell="F3" sqref="F3"/>
    </sheetView>
  </sheetViews>
  <sheetFormatPr defaultRowHeight="15" x14ac:dyDescent="0.25"/>
  <cols>
    <col min="1" max="1" width="13.140625" bestFit="1" customWidth="1"/>
    <col min="2" max="2" width="14.5703125" bestFit="1" customWidth="1"/>
    <col min="4" max="4" width="13.140625" bestFit="1" customWidth="1"/>
    <col min="5" max="5" width="21.140625" bestFit="1" customWidth="1"/>
    <col min="6" max="6" width="14.5703125" bestFit="1" customWidth="1"/>
    <col min="7" max="7" width="20.28515625" bestFit="1" customWidth="1"/>
    <col min="8" max="8" width="14.5703125" bestFit="1" customWidth="1"/>
    <col min="9" max="9" width="16.28515625" bestFit="1" customWidth="1"/>
    <col min="10" max="10" width="9.140625" bestFit="1" customWidth="1"/>
    <col min="11" max="11" width="11.28515625" bestFit="1" customWidth="1"/>
    <col min="12" max="14" width="11.7109375" bestFit="1" customWidth="1"/>
    <col min="15" max="16" width="13.140625" bestFit="1" customWidth="1"/>
    <col min="17" max="17" width="19.140625" bestFit="1" customWidth="1"/>
    <col min="18" max="18" width="19.7109375" bestFit="1" customWidth="1"/>
  </cols>
  <sheetData>
    <row r="1" spans="1:18" x14ac:dyDescent="0.25">
      <c r="D1" s="7" t="s">
        <v>152</v>
      </c>
      <c r="E1" s="9">
        <v>100</v>
      </c>
    </row>
    <row r="3" spans="1:18" x14ac:dyDescent="0.25">
      <c r="A3" s="7" t="s">
        <v>163</v>
      </c>
      <c r="B3" t="s">
        <v>166</v>
      </c>
      <c r="D3" s="7" t="s">
        <v>163</v>
      </c>
      <c r="E3" t="s">
        <v>174</v>
      </c>
      <c r="F3" t="s">
        <v>166</v>
      </c>
      <c r="H3" s="7" t="s">
        <v>166</v>
      </c>
      <c r="I3" s="7" t="s">
        <v>175</v>
      </c>
      <c r="P3" s="7" t="s">
        <v>163</v>
      </c>
      <c r="Q3" t="s">
        <v>165</v>
      </c>
      <c r="R3" t="s">
        <v>178</v>
      </c>
    </row>
    <row r="4" spans="1:18" x14ac:dyDescent="0.25">
      <c r="A4" s="9" t="s">
        <v>157</v>
      </c>
      <c r="B4" s="10">
        <v>0</v>
      </c>
      <c r="D4" s="9" t="s">
        <v>170</v>
      </c>
      <c r="E4" s="19">
        <v>1</v>
      </c>
      <c r="F4" s="10">
        <v>100</v>
      </c>
      <c r="H4" s="7" t="s">
        <v>163</v>
      </c>
      <c r="I4" t="s">
        <v>157</v>
      </c>
      <c r="J4" t="s">
        <v>421</v>
      </c>
      <c r="K4" t="s">
        <v>164</v>
      </c>
      <c r="P4" s="8">
        <v>46122</v>
      </c>
      <c r="Q4" s="10">
        <v>0</v>
      </c>
      <c r="R4" s="5">
        <v>0</v>
      </c>
    </row>
    <row r="5" spans="1:18" x14ac:dyDescent="0.25">
      <c r="A5" s="9" t="s">
        <v>421</v>
      </c>
      <c r="B5" s="10">
        <v>100</v>
      </c>
      <c r="D5" s="9" t="s">
        <v>164</v>
      </c>
      <c r="E5" s="19">
        <v>1</v>
      </c>
      <c r="F5" s="10">
        <v>100</v>
      </c>
      <c r="H5" s="9" t="s">
        <v>155</v>
      </c>
      <c r="I5" s="10">
        <v>0</v>
      </c>
      <c r="J5" s="10"/>
      <c r="K5" s="10">
        <v>0</v>
      </c>
      <c r="P5" s="8">
        <v>46152</v>
      </c>
      <c r="Q5" s="10">
        <v>33000</v>
      </c>
      <c r="R5" s="5">
        <v>6</v>
      </c>
    </row>
    <row r="6" spans="1:18" x14ac:dyDescent="0.25">
      <c r="A6" s="9" t="s">
        <v>164</v>
      </c>
      <c r="B6" s="10">
        <v>100</v>
      </c>
      <c r="H6" s="9" t="s">
        <v>169</v>
      </c>
      <c r="I6" s="10">
        <v>0</v>
      </c>
      <c r="J6" s="10">
        <v>100</v>
      </c>
      <c r="K6" s="10">
        <v>100</v>
      </c>
      <c r="P6" s="8">
        <v>46183</v>
      </c>
      <c r="Q6" s="10">
        <v>66000</v>
      </c>
      <c r="R6" s="5">
        <v>6</v>
      </c>
    </row>
    <row r="7" spans="1:18" x14ac:dyDescent="0.25">
      <c r="H7" s="9" t="s">
        <v>164</v>
      </c>
      <c r="I7" s="10">
        <v>0</v>
      </c>
      <c r="J7" s="10">
        <v>100</v>
      </c>
      <c r="K7" s="10">
        <v>100</v>
      </c>
      <c r="P7" s="8">
        <v>46213</v>
      </c>
      <c r="Q7" s="10">
        <v>78450</v>
      </c>
      <c r="R7" s="5">
        <v>6</v>
      </c>
    </row>
    <row r="8" spans="1:18" x14ac:dyDescent="0.25">
      <c r="P8" s="8">
        <v>46244</v>
      </c>
      <c r="Q8" s="10">
        <v>111450</v>
      </c>
      <c r="R8" s="5">
        <v>6</v>
      </c>
    </row>
    <row r="9" spans="1:18" x14ac:dyDescent="0.25">
      <c r="P9" s="8">
        <v>46275</v>
      </c>
      <c r="Q9" s="10">
        <v>123900</v>
      </c>
      <c r="R9" s="5">
        <v>6</v>
      </c>
    </row>
    <row r="10" spans="1:18" x14ac:dyDescent="0.25">
      <c r="P10" s="8">
        <v>46305</v>
      </c>
      <c r="Q10" s="10">
        <v>128500</v>
      </c>
      <c r="R10" s="5">
        <v>6</v>
      </c>
    </row>
    <row r="11" spans="1:18" x14ac:dyDescent="0.25">
      <c r="P11" s="8">
        <v>46336</v>
      </c>
      <c r="Q11" s="10">
        <v>128500</v>
      </c>
      <c r="R11" s="5">
        <v>6</v>
      </c>
    </row>
    <row r="12" spans="1:18" x14ac:dyDescent="0.25">
      <c r="P12" s="8">
        <v>46366</v>
      </c>
      <c r="Q12" s="10">
        <v>95500</v>
      </c>
      <c r="R12" s="5">
        <v>6</v>
      </c>
    </row>
    <row r="13" spans="1:18" x14ac:dyDescent="0.25">
      <c r="P13" s="8">
        <v>46376</v>
      </c>
      <c r="Q13" s="10">
        <v>95500</v>
      </c>
      <c r="R13" s="5">
        <v>6</v>
      </c>
    </row>
    <row r="14" spans="1:18" x14ac:dyDescent="0.25">
      <c r="P14" s="8">
        <v>46377</v>
      </c>
      <c r="Q14" s="10">
        <v>90300</v>
      </c>
      <c r="R14" s="5">
        <v>6</v>
      </c>
    </row>
    <row r="15" spans="1:18" x14ac:dyDescent="0.25">
      <c r="P15" s="8">
        <v>46378</v>
      </c>
      <c r="Q15" s="10">
        <v>85800</v>
      </c>
      <c r="R15" s="5">
        <v>6</v>
      </c>
    </row>
    <row r="16" spans="1:18" x14ac:dyDescent="0.25">
      <c r="P16" s="8">
        <v>46380</v>
      </c>
      <c r="Q16" s="10">
        <v>70900</v>
      </c>
      <c r="R16" s="5">
        <v>6</v>
      </c>
    </row>
    <row r="17" spans="16:18" x14ac:dyDescent="0.25">
      <c r="P17" s="8">
        <v>46381</v>
      </c>
      <c r="Q17" s="10">
        <v>57300</v>
      </c>
      <c r="R17" s="5">
        <v>6</v>
      </c>
    </row>
    <row r="18" spans="16:18" x14ac:dyDescent="0.25">
      <c r="P18" s="8">
        <v>46382</v>
      </c>
      <c r="Q18" s="10">
        <v>13850</v>
      </c>
      <c r="R18" s="5">
        <v>4</v>
      </c>
    </row>
    <row r="19" spans="16:18" x14ac:dyDescent="0.25">
      <c r="P19" s="8">
        <v>46383</v>
      </c>
      <c r="Q19" s="10">
        <v>13950</v>
      </c>
      <c r="R19" s="5">
        <v>4</v>
      </c>
    </row>
    <row r="20" spans="16:18" x14ac:dyDescent="0.25">
      <c r="P20" s="8" t="s">
        <v>164</v>
      </c>
      <c r="Q20" s="10">
        <v>1192900</v>
      </c>
      <c r="R20" s="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331C-DA0F-4C1B-BACF-508376C0366E}">
  <dimension ref="A1:H13"/>
  <sheetViews>
    <sheetView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4" width="17.140625" bestFit="1" customWidth="1"/>
    <col min="5" max="5" width="10.140625" bestFit="1" customWidth="1"/>
    <col min="6" max="6" width="6.85546875" bestFit="1" customWidth="1"/>
    <col min="7" max="7" width="15.85546875" bestFit="1" customWidth="1"/>
    <col min="8" max="8" width="9.28515625" bestFit="1" customWidth="1"/>
    <col min="9" max="9" width="13.140625" bestFit="1" customWidth="1"/>
    <col min="10" max="10" width="14.5703125" bestFit="1" customWidth="1"/>
    <col min="11" max="11" width="15.140625" bestFit="1" customWidth="1"/>
    <col min="12" max="12" width="16.5703125" bestFit="1" customWidth="1"/>
  </cols>
  <sheetData>
    <row r="1" spans="1:8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173</v>
      </c>
      <c r="G1" t="s">
        <v>153</v>
      </c>
      <c r="H1" t="s">
        <v>154</v>
      </c>
    </row>
    <row r="2" spans="1:8" x14ac:dyDescent="0.25">
      <c r="A2" t="s">
        <v>60</v>
      </c>
      <c r="B2" t="s">
        <v>61</v>
      </c>
      <c r="C2" t="s">
        <v>169</v>
      </c>
      <c r="D2" t="s">
        <v>170</v>
      </c>
      <c r="E2">
        <v>100</v>
      </c>
      <c r="F2" t="s">
        <v>167</v>
      </c>
      <c r="G2">
        <v>26</v>
      </c>
      <c r="H2" t="s">
        <v>421</v>
      </c>
    </row>
    <row r="3" spans="1:8" x14ac:dyDescent="0.25">
      <c r="A3" t="s">
        <v>10</v>
      </c>
      <c r="B3" t="s">
        <v>11</v>
      </c>
      <c r="C3" t="s">
        <v>155</v>
      </c>
      <c r="D3" t="s">
        <v>156</v>
      </c>
      <c r="E3">
        <v>0</v>
      </c>
      <c r="F3" t="s">
        <v>12</v>
      </c>
      <c r="H3" t="s">
        <v>157</v>
      </c>
    </row>
    <row r="4" spans="1:8" x14ac:dyDescent="0.25">
      <c r="A4" t="s">
        <v>16</v>
      </c>
      <c r="B4" t="s">
        <v>17</v>
      </c>
      <c r="C4" t="s">
        <v>155</v>
      </c>
      <c r="D4" t="s">
        <v>156</v>
      </c>
      <c r="E4">
        <v>0</v>
      </c>
      <c r="F4" t="s">
        <v>18</v>
      </c>
      <c r="H4" t="s">
        <v>157</v>
      </c>
    </row>
    <row r="5" spans="1:8" x14ac:dyDescent="0.25">
      <c r="A5" t="s">
        <v>21</v>
      </c>
      <c r="B5" t="s">
        <v>22</v>
      </c>
      <c r="C5" t="s">
        <v>155</v>
      </c>
      <c r="D5" t="s">
        <v>156</v>
      </c>
      <c r="E5">
        <v>0</v>
      </c>
      <c r="F5" t="s">
        <v>23</v>
      </c>
      <c r="H5" t="s">
        <v>157</v>
      </c>
    </row>
    <row r="6" spans="1:8" x14ac:dyDescent="0.25">
      <c r="A6" t="s">
        <v>26</v>
      </c>
      <c r="B6" t="s">
        <v>27</v>
      </c>
      <c r="C6" t="s">
        <v>155</v>
      </c>
      <c r="D6" t="s">
        <v>156</v>
      </c>
      <c r="E6">
        <v>0</v>
      </c>
      <c r="F6" t="s">
        <v>28</v>
      </c>
      <c r="H6" t="s">
        <v>157</v>
      </c>
    </row>
    <row r="7" spans="1:8" x14ac:dyDescent="0.25">
      <c r="A7" t="s">
        <v>31</v>
      </c>
      <c r="B7" t="s">
        <v>32</v>
      </c>
      <c r="C7" t="s">
        <v>155</v>
      </c>
      <c r="D7" t="s">
        <v>156</v>
      </c>
      <c r="E7">
        <v>0</v>
      </c>
      <c r="F7" t="s">
        <v>33</v>
      </c>
      <c r="H7" t="s">
        <v>157</v>
      </c>
    </row>
    <row r="8" spans="1:8" x14ac:dyDescent="0.25">
      <c r="A8" t="s">
        <v>36</v>
      </c>
      <c r="B8" t="s">
        <v>37</v>
      </c>
      <c r="C8" t="s">
        <v>155</v>
      </c>
      <c r="D8" t="s">
        <v>156</v>
      </c>
      <c r="E8">
        <v>0</v>
      </c>
      <c r="F8" t="s">
        <v>38</v>
      </c>
      <c r="H8" t="s">
        <v>157</v>
      </c>
    </row>
    <row r="9" spans="1:8" x14ac:dyDescent="0.25">
      <c r="A9" t="s">
        <v>41</v>
      </c>
      <c r="B9" t="s">
        <v>42</v>
      </c>
      <c r="C9" t="s">
        <v>155</v>
      </c>
      <c r="D9" t="s">
        <v>156</v>
      </c>
      <c r="E9">
        <v>0</v>
      </c>
      <c r="F9" t="s">
        <v>43</v>
      </c>
      <c r="H9" t="s">
        <v>157</v>
      </c>
    </row>
    <row r="10" spans="1:8" x14ac:dyDescent="0.25">
      <c r="A10" t="s">
        <v>46</v>
      </c>
      <c r="B10" t="s">
        <v>47</v>
      </c>
      <c r="C10" t="s">
        <v>155</v>
      </c>
      <c r="D10" t="s">
        <v>156</v>
      </c>
      <c r="E10">
        <v>0</v>
      </c>
      <c r="F10" t="s">
        <v>48</v>
      </c>
      <c r="H10" t="s">
        <v>157</v>
      </c>
    </row>
    <row r="11" spans="1:8" x14ac:dyDescent="0.25">
      <c r="A11" t="s">
        <v>51</v>
      </c>
      <c r="B11" t="s">
        <v>52</v>
      </c>
      <c r="C11" t="s">
        <v>155</v>
      </c>
      <c r="D11" t="s">
        <v>156</v>
      </c>
      <c r="E11">
        <v>0</v>
      </c>
      <c r="F11" t="s">
        <v>53</v>
      </c>
      <c r="H11" t="s">
        <v>157</v>
      </c>
    </row>
    <row r="12" spans="1:8" x14ac:dyDescent="0.25">
      <c r="A12" t="s">
        <v>56</v>
      </c>
      <c r="B12" t="s">
        <v>57</v>
      </c>
      <c r="C12" t="s">
        <v>169</v>
      </c>
      <c r="D12" t="s">
        <v>170</v>
      </c>
      <c r="E12">
        <v>0</v>
      </c>
      <c r="F12" t="s">
        <v>171</v>
      </c>
      <c r="H12" t="s">
        <v>157</v>
      </c>
    </row>
    <row r="13" spans="1:8" x14ac:dyDescent="0.25">
      <c r="A13" t="s">
        <v>64</v>
      </c>
      <c r="B13" t="s">
        <v>65</v>
      </c>
      <c r="C13" t="s">
        <v>169</v>
      </c>
      <c r="D13" t="s">
        <v>170</v>
      </c>
      <c r="E13">
        <v>0</v>
      </c>
      <c r="F13" t="s">
        <v>168</v>
      </c>
      <c r="H13" t="s">
        <v>157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FF93-14F3-4A1B-9CE6-688FB75CDAEE}">
  <dimension ref="A1:E42"/>
  <sheetViews>
    <sheetView workbookViewId="0">
      <selection activeCell="A11" sqref="A11"/>
    </sheetView>
  </sheetViews>
  <sheetFormatPr defaultRowHeight="15" x14ac:dyDescent="0.25"/>
  <cols>
    <col min="1" max="1" width="13" bestFit="1" customWidth="1"/>
    <col min="2" max="2" width="14.5703125" bestFit="1" customWidth="1"/>
    <col min="3" max="3" width="15.140625" bestFit="1" customWidth="1"/>
    <col min="4" max="4" width="17" bestFit="1" customWidth="1"/>
    <col min="5" max="5" width="17.5703125" bestFit="1" customWidth="1"/>
  </cols>
  <sheetData>
    <row r="1" spans="1:5" x14ac:dyDescent="0.25">
      <c r="A1" t="s">
        <v>158</v>
      </c>
      <c r="B1" t="s">
        <v>159</v>
      </c>
      <c r="C1" t="s">
        <v>160</v>
      </c>
      <c r="D1" t="s">
        <v>161</v>
      </c>
      <c r="E1" t="s">
        <v>162</v>
      </c>
    </row>
    <row r="2" spans="1:5" x14ac:dyDescent="0.25">
      <c r="A2" s="6">
        <v>46032</v>
      </c>
      <c r="B2">
        <v>0</v>
      </c>
      <c r="C2">
        <v>0</v>
      </c>
      <c r="D2" s="19" t="s">
        <v>157</v>
      </c>
      <c r="E2">
        <v>0</v>
      </c>
    </row>
    <row r="3" spans="1:5" x14ac:dyDescent="0.25">
      <c r="A3" s="6">
        <v>46063</v>
      </c>
      <c r="B3">
        <v>0</v>
      </c>
      <c r="C3">
        <v>0</v>
      </c>
      <c r="D3" s="19" t="s">
        <v>157</v>
      </c>
      <c r="E3">
        <v>0</v>
      </c>
    </row>
    <row r="4" spans="1:5" x14ac:dyDescent="0.25">
      <c r="A4" s="6">
        <v>46091</v>
      </c>
      <c r="B4">
        <v>0</v>
      </c>
      <c r="C4">
        <v>0</v>
      </c>
      <c r="D4" s="19" t="s">
        <v>157</v>
      </c>
      <c r="E4">
        <v>0</v>
      </c>
    </row>
    <row r="5" spans="1:5" x14ac:dyDescent="0.25">
      <c r="A5" s="6">
        <v>46122</v>
      </c>
      <c r="B5">
        <v>0</v>
      </c>
      <c r="C5">
        <v>0</v>
      </c>
      <c r="D5" s="19" t="s">
        <v>157</v>
      </c>
      <c r="E5">
        <v>0</v>
      </c>
    </row>
    <row r="6" spans="1:5" x14ac:dyDescent="0.25">
      <c r="A6" s="6">
        <v>46152</v>
      </c>
      <c r="B6">
        <v>33000</v>
      </c>
      <c r="C6">
        <v>6</v>
      </c>
      <c r="D6" s="19" t="s">
        <v>421</v>
      </c>
      <c r="E6">
        <v>5500</v>
      </c>
    </row>
    <row r="7" spans="1:5" x14ac:dyDescent="0.25">
      <c r="A7" s="6">
        <v>46183</v>
      </c>
      <c r="B7">
        <v>66000</v>
      </c>
      <c r="C7">
        <v>6</v>
      </c>
      <c r="D7" s="19" t="s">
        <v>263</v>
      </c>
      <c r="E7">
        <v>11000</v>
      </c>
    </row>
    <row r="8" spans="1:5" x14ac:dyDescent="0.25">
      <c r="A8" s="6">
        <v>46213</v>
      </c>
      <c r="B8">
        <v>78450</v>
      </c>
      <c r="C8">
        <v>6</v>
      </c>
      <c r="D8" s="19" t="s">
        <v>179</v>
      </c>
      <c r="E8">
        <v>13075</v>
      </c>
    </row>
    <row r="9" spans="1:5" x14ac:dyDescent="0.25">
      <c r="A9" s="6">
        <v>46244</v>
      </c>
      <c r="B9">
        <v>111450</v>
      </c>
      <c r="C9">
        <v>6</v>
      </c>
      <c r="D9" s="19" t="s">
        <v>179</v>
      </c>
      <c r="E9">
        <v>18575</v>
      </c>
    </row>
    <row r="10" spans="1:5" x14ac:dyDescent="0.25">
      <c r="A10" s="6">
        <v>46275</v>
      </c>
      <c r="B10">
        <v>123900</v>
      </c>
      <c r="C10">
        <v>6</v>
      </c>
      <c r="D10" s="19" t="s">
        <v>179</v>
      </c>
      <c r="E10">
        <v>20650</v>
      </c>
    </row>
    <row r="11" spans="1:5" x14ac:dyDescent="0.25">
      <c r="A11" s="6">
        <v>46305</v>
      </c>
      <c r="B11">
        <v>128500</v>
      </c>
      <c r="C11">
        <v>6</v>
      </c>
      <c r="D11" s="19" t="s">
        <v>179</v>
      </c>
      <c r="E11">
        <v>21416.67</v>
      </c>
    </row>
    <row r="12" spans="1:5" x14ac:dyDescent="0.25">
      <c r="A12" s="6">
        <v>46336</v>
      </c>
      <c r="B12">
        <v>128500</v>
      </c>
      <c r="C12">
        <v>6</v>
      </c>
      <c r="D12" s="19" t="s">
        <v>179</v>
      </c>
      <c r="E12">
        <v>21416.67</v>
      </c>
    </row>
    <row r="13" spans="1:5" x14ac:dyDescent="0.25">
      <c r="A13" s="6">
        <v>46366</v>
      </c>
      <c r="B13">
        <v>95500</v>
      </c>
      <c r="C13">
        <v>6</v>
      </c>
      <c r="D13" s="19" t="s">
        <v>179</v>
      </c>
      <c r="E13">
        <v>15916.67</v>
      </c>
    </row>
    <row r="14" spans="1:5" x14ac:dyDescent="0.25">
      <c r="A14" s="6">
        <v>46376</v>
      </c>
      <c r="B14">
        <v>95500</v>
      </c>
      <c r="C14">
        <v>6</v>
      </c>
      <c r="D14" s="19" t="s">
        <v>179</v>
      </c>
      <c r="E14">
        <v>15916.67</v>
      </c>
    </row>
    <row r="15" spans="1:5" x14ac:dyDescent="0.25">
      <c r="A15" s="6">
        <v>46377</v>
      </c>
      <c r="B15">
        <v>90300</v>
      </c>
      <c r="C15">
        <v>6</v>
      </c>
      <c r="D15" s="19" t="s">
        <v>179</v>
      </c>
      <c r="E15">
        <v>15050</v>
      </c>
    </row>
    <row r="16" spans="1:5" x14ac:dyDescent="0.25">
      <c r="A16" s="6">
        <v>46378</v>
      </c>
      <c r="B16">
        <v>85800</v>
      </c>
      <c r="C16">
        <v>6</v>
      </c>
      <c r="D16" s="19" t="s">
        <v>179</v>
      </c>
      <c r="E16">
        <v>14300</v>
      </c>
    </row>
    <row r="17" spans="1:5" x14ac:dyDescent="0.25">
      <c r="A17" s="6">
        <v>46380</v>
      </c>
      <c r="B17">
        <v>70900</v>
      </c>
      <c r="C17">
        <v>6</v>
      </c>
      <c r="D17" s="19" t="s">
        <v>179</v>
      </c>
      <c r="E17">
        <v>11816.67</v>
      </c>
    </row>
    <row r="18" spans="1:5" x14ac:dyDescent="0.25">
      <c r="A18" s="6">
        <v>46381</v>
      </c>
      <c r="B18">
        <v>57300</v>
      </c>
      <c r="C18">
        <v>6</v>
      </c>
      <c r="D18" s="19" t="s">
        <v>179</v>
      </c>
      <c r="E18">
        <v>9550</v>
      </c>
    </row>
    <row r="19" spans="1:5" x14ac:dyDescent="0.25">
      <c r="A19" s="6">
        <v>46382</v>
      </c>
      <c r="B19">
        <v>13850</v>
      </c>
      <c r="C19">
        <v>4</v>
      </c>
      <c r="D19" s="19" t="s">
        <v>263</v>
      </c>
      <c r="E19">
        <v>3462.5</v>
      </c>
    </row>
    <row r="20" spans="1:5" x14ac:dyDescent="0.25">
      <c r="A20" s="6">
        <v>46383</v>
      </c>
      <c r="B20">
        <v>13850</v>
      </c>
      <c r="C20">
        <v>4</v>
      </c>
      <c r="D20" s="19" t="s">
        <v>263</v>
      </c>
      <c r="E20">
        <v>3462.5</v>
      </c>
    </row>
    <row r="21" spans="1:5" x14ac:dyDescent="0.25">
      <c r="A21" s="6">
        <v>46383</v>
      </c>
      <c r="B21">
        <v>100</v>
      </c>
      <c r="C21">
        <v>1</v>
      </c>
      <c r="D21" s="19" t="s">
        <v>421</v>
      </c>
      <c r="E21">
        <v>100</v>
      </c>
    </row>
    <row r="22" spans="1:5" x14ac:dyDescent="0.25">
      <c r="A22" s="6"/>
      <c r="D22" s="19" t="s">
        <v>176</v>
      </c>
    </row>
    <row r="23" spans="1:5" x14ac:dyDescent="0.25">
      <c r="A23" s="6"/>
      <c r="B23">
        <v>47300</v>
      </c>
      <c r="C23">
        <v>6</v>
      </c>
      <c r="D23" s="19" t="s">
        <v>179</v>
      </c>
      <c r="E23">
        <v>7883.33</v>
      </c>
    </row>
    <row r="24" spans="1:5" x14ac:dyDescent="0.25">
      <c r="A24" s="6"/>
      <c r="D24" t="s">
        <v>176</v>
      </c>
    </row>
    <row r="25" spans="1:5" x14ac:dyDescent="0.25">
      <c r="A25" s="6"/>
      <c r="D25" t="s">
        <v>176</v>
      </c>
    </row>
    <row r="26" spans="1:5" x14ac:dyDescent="0.25">
      <c r="A26" s="6"/>
      <c r="D26" t="s">
        <v>176</v>
      </c>
    </row>
    <row r="27" spans="1:5" x14ac:dyDescent="0.25">
      <c r="A27" s="6"/>
      <c r="D27" t="s">
        <v>176</v>
      </c>
    </row>
    <row r="28" spans="1:5" x14ac:dyDescent="0.25">
      <c r="A28" s="6"/>
      <c r="D28" t="s">
        <v>176</v>
      </c>
    </row>
    <row r="29" spans="1:5" x14ac:dyDescent="0.25">
      <c r="A29" s="6"/>
      <c r="D29" t="s">
        <v>176</v>
      </c>
    </row>
    <row r="30" spans="1:5" x14ac:dyDescent="0.25">
      <c r="A30" s="6"/>
      <c r="D30" t="s">
        <v>176</v>
      </c>
    </row>
    <row r="31" spans="1:5" x14ac:dyDescent="0.25">
      <c r="A31" s="6"/>
      <c r="D31" t="s">
        <v>176</v>
      </c>
    </row>
    <row r="32" spans="1:5" x14ac:dyDescent="0.25">
      <c r="A32" s="6"/>
      <c r="D32" t="s">
        <v>176</v>
      </c>
    </row>
    <row r="33" spans="1:4" x14ac:dyDescent="0.25">
      <c r="A33" s="6"/>
      <c r="D33" t="s">
        <v>176</v>
      </c>
    </row>
    <row r="34" spans="1:4" x14ac:dyDescent="0.25">
      <c r="A34" s="6"/>
      <c r="D34" t="s">
        <v>176</v>
      </c>
    </row>
    <row r="35" spans="1:4" x14ac:dyDescent="0.25">
      <c r="A35" s="6"/>
      <c r="D35" t="s">
        <v>176</v>
      </c>
    </row>
    <row r="36" spans="1:4" x14ac:dyDescent="0.25">
      <c r="A36" s="6"/>
      <c r="D36" t="s">
        <v>176</v>
      </c>
    </row>
    <row r="37" spans="1:4" x14ac:dyDescent="0.25">
      <c r="A37" s="6"/>
    </row>
    <row r="38" spans="1:4" x14ac:dyDescent="0.25">
      <c r="A38" s="6"/>
      <c r="D38" t="s">
        <v>176</v>
      </c>
    </row>
    <row r="39" spans="1:4" x14ac:dyDescent="0.25">
      <c r="A39" s="6"/>
      <c r="D39" t="s">
        <v>176</v>
      </c>
    </row>
    <row r="40" spans="1:4" x14ac:dyDescent="0.25">
      <c r="A40" s="6"/>
      <c r="D40" t="s">
        <v>176</v>
      </c>
    </row>
    <row r="41" spans="1:4" x14ac:dyDescent="0.25">
      <c r="A41" s="6"/>
      <c r="D41" t="s">
        <v>176</v>
      </c>
    </row>
    <row r="42" spans="1:4" x14ac:dyDescent="0.25">
      <c r="A42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E71813-03A5-4D65-BDD1-E1FECFBF94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Ops_Dashboard</vt:lpstr>
      <vt:lpstr>Tenants</vt:lpstr>
      <vt:lpstr>Ledger</vt:lpstr>
      <vt:lpstr>Pivots</vt:lpstr>
      <vt:lpstr>Snapshot_Data</vt:lpstr>
      <vt:lpstr>History_Snapshot</vt:lpstr>
      <vt:lpstr>Ops_Dashboard!Print_Area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Maluleke, Nicola, (Mr) (s231950675)</cp:lastModifiedBy>
  <dcterms:created xsi:type="dcterms:W3CDTF">2026-02-11T10:27:57Z</dcterms:created>
  <dcterms:modified xsi:type="dcterms:W3CDTF">2026-02-25T06:46:41Z</dcterms:modified>
</cp:coreProperties>
</file>